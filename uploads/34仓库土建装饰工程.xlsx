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工程项目清单汇总表" sheetId="1" r:id="rId1"/>
    <sheet name="分部分项工程项目清单计价表" sheetId="2" r:id="rId2"/>
    <sheet name="措施项目清单计价表" sheetId="3" r:id="rId3"/>
    <sheet name="其他项目清单计价表" sheetId="4" r:id="rId4"/>
    <sheet name="暂列金额明细表" sheetId="5" r:id="rId5"/>
    <sheet name="增值税计价表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<sst xmlns="http://schemas.openxmlformats.org/spreadsheetml/2006/main" count="1520" uniqueCount="592">
  <si>
    <t>序号</t>
  </si>
  <si>
    <t>项目内容</t>
  </si>
  <si>
    <t>金额(元)</t>
  </si>
  <si>
    <t>1</t>
  </si>
  <si>
    <t>分部分项工程费</t>
  </si>
  <si>
    <t>47247389.12</t>
  </si>
  <si>
    <t>1.1</t>
  </si>
  <si>
    <t>土石方工程</t>
  </si>
  <si>
    <t>706905.67</t>
  </si>
  <si>
    <t>1.2</t>
  </si>
  <si>
    <t>砌体工程</t>
  </si>
  <si>
    <t>604068.53</t>
  </si>
  <si>
    <t>1.3</t>
  </si>
  <si>
    <t>混凝土工程</t>
  </si>
  <si>
    <t>5297161.66</t>
  </si>
  <si>
    <t>1.4</t>
  </si>
  <si>
    <t>模板工程</t>
  </si>
  <si>
    <t>7260940.24</t>
  </si>
  <si>
    <t>1.5</t>
  </si>
  <si>
    <t>钢筋工程</t>
  </si>
  <si>
    <t>8286005.38</t>
  </si>
  <si>
    <t>1.6</t>
  </si>
  <si>
    <t>钢结构工程</t>
  </si>
  <si>
    <t>9486821.37</t>
  </si>
  <si>
    <t>1.7</t>
  </si>
  <si>
    <t>屋面防水工程</t>
  </si>
  <si>
    <t>3619110.75</t>
  </si>
  <si>
    <t>1.8</t>
  </si>
  <si>
    <t>楼地面工程</t>
  </si>
  <si>
    <t>3571311.73</t>
  </si>
  <si>
    <t>1.9</t>
  </si>
  <si>
    <t>墙柱面工程</t>
  </si>
  <si>
    <t>4129878.09</t>
  </si>
  <si>
    <t>1.10</t>
  </si>
  <si>
    <t>天棚面工程</t>
  </si>
  <si>
    <t>1331350.37</t>
  </si>
  <si>
    <t>1.11</t>
  </si>
  <si>
    <t>门窗工程</t>
  </si>
  <si>
    <t>2471172.77</t>
  </si>
  <si>
    <t>1.12</t>
  </si>
  <si>
    <t>其他工程</t>
  </si>
  <si>
    <t>482662.56</t>
  </si>
  <si>
    <t>2</t>
  </si>
  <si>
    <t>措施项目费</t>
  </si>
  <si>
    <t>5863968.54</t>
  </si>
  <si>
    <t>2.1</t>
  </si>
  <si>
    <t>其中：安全生产措施项目</t>
  </si>
  <si>
    <t>1505089.62</t>
  </si>
  <si>
    <t>3</t>
  </si>
  <si>
    <t>其他项目费</t>
  </si>
  <si>
    <t>833415.80</t>
  </si>
  <si>
    <t>3.1</t>
  </si>
  <si>
    <t>其中：暂列金额</t>
  </si>
  <si>
    <t/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</si>
  <si>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</si>
  <si>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</si>
  <si>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</si>
  <si>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</si>
  <si>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</si>
  <si>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</si>
  <si>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</si>
  <si>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其中：合同中约定的其他项目</t>
  </si>
  <si>
    <t>4</t>
  </si>
  <si>
    <t>税前工程造价</t>
  </si>
  <si>
    <t>53944773.46</t>
  </si>
  <si>
    <t>5</t>
  </si>
  <si>
    <t>增值税</t>
  </si>
  <si>
    <t>4855029.61</t>
  </si>
  <si>
    <t>合  计</t>
  </si>
  <si>
    <t>58799803.07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</si>
  <si>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</si>
  <si>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</si>
  <si>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</si>
  <si>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</si>
  <si>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</si>
  <si>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</si>
  <si>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</si>
  <si>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挖基坑土方</t>
  </si>
  <si>
    <t>1、土壤类别:以地勘报告为准
2、挖土深度:综合考虑
3、开挖方式、类型:综合考虑
4、综合考虑按图纸和规范要求而实施、完成这项工程的一切有关费用</t>
  </si>
  <si>
    <t>m3</t>
  </si>
  <si>
    <t>挖基坑土方（桩间土）</t>
  </si>
  <si>
    <t>挖沟槽土方</t>
  </si>
  <si>
    <t>回填方</t>
  </si>
  <si>
    <t>1、密实度要求:满足设计要求
2、填方材料品种:满足设计要求
3、填方来源:项目原土
4、取土运距:投标人自行考虑
5、综合考虑按图纸和规范要求而实施、完成这项工程的一切有关费用</t>
  </si>
  <si>
    <t>外购土方资源费</t>
  </si>
  <si>
    <t>1、外购土方资源费</t>
  </si>
  <si>
    <t>砌块墙</t>
  </si>
  <si>
    <t>1、墙体类型:外墙
2、墙体厚度:200mm
3、砌块品种、规格、强度等级:蒸压加气混凝土砌块，A7.5
4、砂浆强度等级:M7.5专用砂浆
5、超高降效费综合考虑
6、综合考虑按图纸和规范要求而实施、完成这项工程的一切有关费用</t>
  </si>
  <si>
    <t>1、墙体类型:内墙
2、墙体厚度:200mm
3、砌块品种、规格、强度等级:蒸压加气混凝土砌块，A5.0
4、砂浆强度等级:M7.5专用砂浆
5、超高降效费综合考虑
6、综合考虑按图纸和规范要求而实施、完成这项工程的一切有关费用</t>
  </si>
  <si>
    <t>实心砖墙</t>
  </si>
  <si>
    <t>1、墙体类型:内墙
2、墙体厚度:200mm
3、砌块品种、规格、强度等级:MU20混凝土实心砖
4、砂浆强度等级:M10专用砂浆
5、超高降效费综合考虑
6、综合考虑按图纸和规范要求而实施、完成这项工程的一切有关费用</t>
  </si>
  <si>
    <t>隔墙板</t>
  </si>
  <si>
    <t>1、隔墙板
2、墙体厚度:200mm
3、轻钢龙骨双面纤维增强硅酸钙板和岩棉组成的复核防火板墙体
4、超高降效费综合考虑
5、综合考虑按图纸和规范要求而实施、完成这项工程的一切有关费用</t>
  </si>
  <si>
    <t>m2</t>
  </si>
  <si>
    <t>正负0以下</t>
  </si>
  <si>
    <t>现浇构混凝土垫层 C15</t>
  </si>
  <si>
    <t>1、混凝土种类:商品混凝土
2、混凝土强度等级:C15
3、综合考虑按图纸和规范要求而实施、完成这项工程的一切有关费用</t>
  </si>
  <si>
    <t>现浇构混凝土桩承台基础 C35 P8</t>
  </si>
  <si>
    <t>1、混凝土种类:泵送商品混凝土
2、混凝土强度等级:C35 P8
3、泵送高度50m以内，运距、塌落度综合考虑
4、综合考虑按图纸和规范要求而实施、完成这项工程的一切有关费用</t>
  </si>
  <si>
    <t>现浇混凝土柱 C40</t>
  </si>
  <si>
    <t>1、混凝土种类:泵送商品混凝土
2、混凝土强度等级:C40
3、泵送高度50m以内，运距、塌落度综合考虑
4、综合考虑按图纸和规范要求而实施、完成这项工程的一切有关费用</t>
  </si>
  <si>
    <t>现浇混凝土墙 C30</t>
  </si>
  <si>
    <t>1、混凝土种类:泵送商品混凝土
2、混凝土强度等级:C30
3、泵送高度50m以内，运距、塌落度综合考虑
4、综合考虑按图纸和规范要求而实施、完成这项工程的一切有关费用</t>
  </si>
  <si>
    <t>现浇混凝土板 C35</t>
  </si>
  <si>
    <t>1、混凝土种类:泵送商品混凝土
2、混凝土强度等级:C35
3、泵送高度50m以内，运距、塌落度综合考虑
4、综合考虑按图纸和规范要求而实施、完成这项工程的一切有关费用</t>
  </si>
  <si>
    <t>现浇构混凝土基础梁 C35</t>
  </si>
  <si>
    <t>1、混凝土种类:泵送商品混凝土
2、混凝土强度等级:C35 
3、泵送高度50m以内，运距、塌落度综合考虑
4、综合考虑按图纸和规范要求而实施、完成这项工程的一切有关费用</t>
  </si>
  <si>
    <t>正负0以上</t>
  </si>
  <si>
    <t>1、混凝土种类:泵送商品混凝土
2、混凝土强度等级:C40
3、泵送高度50m以内，运距、塌落度综合考虑
4、超高降效费综合考虑
5、综合考虑按图纸和规范要求而实施、完成这项工程的一切有关费用</t>
  </si>
  <si>
    <t>现浇混凝土柱 C35</t>
  </si>
  <si>
    <t>1、混凝土种类:泵送商品混凝土
2、混凝土强度等级:C35
3、泵送高度50m以内，运距、塌落度综合考虑
4、超高降效费综合考虑
5、综合考虑按图纸和规范要求而实施、完成这项工程的一切有关费用</t>
  </si>
  <si>
    <t>现浇混凝土墙 C40</t>
  </si>
  <si>
    <t>现浇混凝土梁 C35</t>
  </si>
  <si>
    <t>现浇混凝土梁 C40</t>
  </si>
  <si>
    <t>现浇混凝土板 C40</t>
  </si>
  <si>
    <t>现浇混凝坡道板 C40</t>
  </si>
  <si>
    <t>现浇混凝反檐 C25</t>
  </si>
  <si>
    <t>1、混凝土种类:商品混凝土
2、混凝土强度等级:C25
3、超高降效费综合考虑
4、综合考虑按图纸和规范要求而实施、完成这项工程的一切有关费用</t>
  </si>
  <si>
    <t>现浇混凝楼梯 C35</t>
  </si>
  <si>
    <t>现浇混凝楼梯 C40</t>
  </si>
  <si>
    <t>现浇混凝构造柱 C25</t>
  </si>
  <si>
    <t>现浇混凝圈梁、过梁 C25</t>
  </si>
  <si>
    <t>基础模板</t>
  </si>
  <si>
    <t>1、独立基础模板
2、综合考虑按图纸和规范要求而实施、完成这项工程的一切有关费用</t>
  </si>
  <si>
    <t>基础联系梁模板</t>
  </si>
  <si>
    <t>1、基础梁模板
2、综合考虑按图纸和规范要求而实施、完成这项工程的一切有关费用</t>
  </si>
  <si>
    <t>柱面模板</t>
  </si>
  <si>
    <t>1、柱模板 矩形柱模板(周长m) 支模高度3.6m内 1.8外
2、综合考虑按图纸和规范要求而实施、完成这项工程的一切有关费用</t>
  </si>
  <si>
    <t>墙模板</t>
  </si>
  <si>
    <t>1、挡土墙模板 墙厚40内 支模高度3.6m内</t>
  </si>
  <si>
    <t>1.柱模板 矩形柱模板(周长m) 支模高度11.1m 1.8外
2、综合考虑按图纸和规范要求而实施、完成这项工程的一切有关费用</t>
  </si>
  <si>
    <t>1.柱模板 矩形柱模板(周长m) 支模高度10.5m 1.8外
2、综合考虑按图纸和规范要求而实施、完成这项工程的一切有关费用</t>
  </si>
  <si>
    <t>墙面模板</t>
  </si>
  <si>
    <t>1、墙模板 直形墙模板 墙厚(cm以内) 40 支模高度5.6m
2、综合考虑按图纸和规范要求而实施、完成这项工程的一切有关费用</t>
  </si>
  <si>
    <t>梁模板</t>
  </si>
  <si>
    <t>1、梁模板 单梁、连续梁模板(梁宽cm) 25以内 支模高度5.6m
2、综合考虑按图纸和规范要求而实施、完成这项工程的一切有关费用</t>
  </si>
  <si>
    <t>1、梁模板 单梁、连续梁模板(梁宽cm) 25以外 支模高度5.6m
2、综合考虑按图纸和规范要求而实施、完成这项工程的一切有关费用</t>
  </si>
  <si>
    <t>1、梁模板 单梁、连续梁(梁宽cm) 25以内 支模高度11.1以内
2、综合考虑按图纸和规范要求而实施、完成这项工程的一切有关费用</t>
  </si>
  <si>
    <t>1、梁模板 单梁、连续梁(梁宽cm) 25以外 支模高度11.1以内
2、综合考虑按图纸和规范要求而实施、完成这项工程的一切有关费用</t>
  </si>
  <si>
    <t>楼板、屋面板模板</t>
  </si>
  <si>
    <t>1、板模板 有梁板模板 支模高度5.6m以内
2、综合考虑按图纸和规范要求而实施、完成这项工程的一切有关费用</t>
  </si>
  <si>
    <t>1、板模板 有梁板模板 支模高度11.1m以内
2、综合考虑按图纸和规范要求而实施、完成这项工程的一切有关费用</t>
  </si>
  <si>
    <t>坡道板模板</t>
  </si>
  <si>
    <t>1、板模板 有梁板模板 支模高度3.6m以内
2、综合考虑按图纸和规范要求而实施、完成这项工程的一切有关费用</t>
  </si>
  <si>
    <t>反檐模板</t>
  </si>
  <si>
    <t>1、反檐模板
2、综合考虑按图纸和规范要求而实施、完成这项工程的一切有关费用</t>
  </si>
  <si>
    <t>楼梯模板</t>
  </si>
  <si>
    <t>1、楼梯模板 直形
2、综合考虑按图纸和规范要求而实施、完成这项工程的一切有关费用</t>
  </si>
  <si>
    <t>构造柱模板</t>
  </si>
  <si>
    <t>1、柱模板 矩形柱模板(周长m) 支模高度5.6m 1.2内
2、综合考虑按图纸和规范要求而实施、完成这项工程的一切有关费用</t>
  </si>
  <si>
    <t>圈梁、过梁模板</t>
  </si>
  <si>
    <t>1、梁模板 圈梁模板
2、综合考虑按图纸和规范要求而实施、完成这项工程的一切有关费用</t>
  </si>
  <si>
    <t>现浇构件钢筋</t>
  </si>
  <si>
    <t>1、钢筋种类、规格:Ⅲ级螺纹钢 Φ10以内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</si>
  <si>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t</t>
  </si>
  <si>
    <t>1、钢筋种类、规格:Ⅲ级螺纹钢 Φ12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</si>
  <si>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Φ14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</si>
  <si>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Φ16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</si>
  <si>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Φ18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</si>
  <si>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Φ20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</si>
  <si>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Φ22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</si>
  <si>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Φ25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</si>
  <si>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Φ28~32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</si>
  <si>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现浇构件钢筋（带E）</t>
  </si>
  <si>
    <t>1、钢筋种类、规格:Ⅲ级螺纹钢 Φ20
2、钢筋类型:抗震钢筋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</si>
  <si>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Φ22
2、钢筋类型:抗震钢筋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</si>
  <si>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Φ25
2、钢筋类型:抗震钢筋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</si>
  <si>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Φ28-32
2、钢筋类型:抗震钢筋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</si>
  <si>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现浇构件钢筋（箍筋）</t>
  </si>
  <si>
    <t>1、钢筋种类、规格:Ⅰ级圆钢 Φ10以内
2、钢筋类型:非抗震钢筋
3、综合考虑按图纸和规范要求而实施、完成这项工程的一切有关费用</t>
  </si>
  <si>
    <t>1、钢筋种类、规格:Ⅲ级螺纹钢 Φ10以内
2、钢筋类型:非抗震钢筋
3、综合考虑按图纸和规范要求而实施、完成这项工程的一切有关费用</t>
  </si>
  <si>
    <t>1、钢筋种类、规格:Ⅲ级螺纹钢 Φ12
2、钢筋类型:非抗震钢筋
3、综合考虑按图纸和规范要求而实施、完成这项工程的一切有关费用</t>
  </si>
  <si>
    <t>1、钢筋种类、规格:Ⅲ级螺纹钢 Φ16-25
2、钢筋类型:非抗震钢筋
3、综合考虑按图纸和规范要求而实施、完成这项工程的一切有关费用</t>
  </si>
  <si>
    <t>机械连接</t>
  </si>
  <si>
    <t>1、连接方式:套筒连接
2、规格:Φ18
3、综合考虑按图纸和规范要求而实施、完成这项工程的一切有关费用</t>
  </si>
  <si>
    <t>个</t>
  </si>
  <si>
    <t>1、连接方式:套筒连接
2、规格:Φ20
3、综合考虑按图纸和规范要求而实施、完成这项工程的一切有关费用</t>
  </si>
  <si>
    <t>1、连接方式:套筒连接
2、规格:Φ22
3、综合考虑按图纸和规范要求而实施、完成这项工程的一切有关费用</t>
  </si>
  <si>
    <t>1、连接方式:套筒连接
2、规格:Φ25
3、综合考虑按图纸和规范要求而实施、完成这项工程的一切有关费用</t>
  </si>
  <si>
    <t>1、连接方式:套筒连接
2、规格:Φ28
3、综合考虑按图纸和规范要求而实施、完成这项工程的一切有关费用</t>
  </si>
  <si>
    <t>1、钢筋种类、规格:Ⅲ级螺纹钢 Φ10以内
2、钢筋类型:非抗震钢筋（综合单价不含措施筋，其工程量并入清单量计算）
3、超高降效费综合考虑
4、综合考虑按图纸和规范要求而实施、完成这项工程的一切有关费用</t>
  </si>
  <si>
    <t>1、钢筋种类、规格:Ⅲ级螺纹钢 Φ12
2、钢筋类型:非抗震钢筋（综合单价不含措施筋，其工程量并入清单量计算）
3、超高降效费综合考虑
4、综合考虑按图纸和规范要求而实施、完成这项工程的一切有关费用</t>
  </si>
  <si>
    <t>1、钢筋种类、规格:Ⅲ级螺纹钢 Φ14
2、钢筋类型:非抗震钢筋（综合单价不含措施筋，其工程量并入清单量计算）
3、超高降效费综合考虑
4、综合考虑按图纸和规范要求而实施、完成这项工程的一切有关费用</t>
  </si>
  <si>
    <t>1、钢筋种类、规格:Ⅲ级螺纹钢 Φ16
2、钢筋类型:非抗震钢筋（综合单价不含措施筋，其工程量并入清单量计算）
3、超高降效费综合考虑
4、综合考虑按图纸和规范要求而实施、完成这项工程的一切有关费用</t>
  </si>
  <si>
    <t>1、钢筋种类、规格:Ⅲ级螺纹钢 Φ18
2、钢筋类型:非抗震钢筋（综合单价不含措施筋，其工程量并入清单量计算）
3、超高降效费综合考虑
4、综合考虑按图纸和规范要求而实施、完成这项工程的一切有关费用</t>
  </si>
  <si>
    <t>1、钢筋种类、规格:Ⅲ级螺纹钢 Φ20
2、钢筋类型:非抗震钢筋（综合单价不含措施筋，其工程量并入清单量计算）
3、超高降效费综合考虑
4、综合考虑按图纸和规范要求而实施、完成这项工程的一切有关费用</t>
  </si>
  <si>
    <t>1、钢筋种类、规格:Ⅲ级螺纹钢 Φ10
2、钢筋类型:抗震钢筋
3、超高降效费综合考虑
4、综合考虑按图纸和规范要求而实施、完成这项工程的一切有关费用</t>
  </si>
  <si>
    <t>1、钢筋种类、规格:Ⅲ级螺纹钢 Φ12
2、钢筋类型:抗震钢筋
3、超高降效费综合考虑
4、综合考虑按图纸和规范要求而实施、完成这项工程的一切有关费用</t>
  </si>
  <si>
    <t>1、钢筋种类、规格:Ⅲ级螺纹钢 Φ14
2、钢筋类型:抗震钢筋
3、超高降效费综合考虑
4、综合考虑按图纸和规范要求而实施、完成这项工程的一切有关费用</t>
  </si>
  <si>
    <t>1、钢筋种类、规格:Ⅲ级螺纹钢 Φ16
2、钢筋类型:抗震钢筋
3、超高降效费综合考虑
4、综合考虑按图纸和规范要求而实施、完成这项工程的一切有关费用</t>
  </si>
  <si>
    <t>1、钢筋种类、规格:Ⅲ级螺纹钢 Φ18
2、钢筋类型:抗震钢筋
3、超高降效费综合考虑
4、综合考虑按图纸和规范要求而实施、完成这项工程的一切有关费用</t>
  </si>
  <si>
    <t>1、钢筋种类、规格:Ⅲ级螺纹钢 Φ20
2、钢筋类型:抗震钢筋
3、超高降效费综合考虑
4、综合考虑按图纸和规范要求而实施、完成这项工程的一切有关费用</t>
  </si>
  <si>
    <t>1、钢筋种类、规格:Ⅲ级螺纹钢 Φ22
2、钢筋类型:抗震钢筋
3、超高降效费综合考虑
4、综合考虑按图纸和规范要求而实施、完成这项工程的一切有关费用</t>
  </si>
  <si>
    <t>1、钢筋种类、规格:Ⅲ级螺纹钢 Φ25
2、钢筋类型:抗震钢筋
3、超高降效费综合考虑
4、综合考虑按图纸和规范要求而实施、完成这项工程的一切有关费用</t>
  </si>
  <si>
    <t>1、钢筋种类、规格:Ⅲ级螺纹钢 Φ28-32
2、钢筋类型:抗震钢筋
3、超高降效费综合考虑
4、综合考虑按图纸和规范要求而实施、完成这项工程的一切有关费用</t>
  </si>
  <si>
    <t>1、钢筋种类、规格:Ⅳ级螺纹钢 Ф12-14
2、钢筋类型:抗震钢筋
3、超高降效费综合考虑
4、综合考虑按图纸和规范要求而实施、完成这项工程的一切有关费用</t>
  </si>
  <si>
    <t>1、钢筋种类、规格:Ⅳ级螺纹钢 Ф16-25
2、钢筋类型:抗震钢筋
3、超高降效费综合考虑
4、综合考虑按图纸和规范要求而实施、完成这项工程的一切有关费用</t>
  </si>
  <si>
    <t>1、钢筋种类、规格:Ⅳ级螺纹钢 Ф28-32
2、钢筋类型:抗震钢筋
3、超高降效费综合考虑
4、综合考虑按图纸和规范要求而实施、完成这项工程的一切有关费用</t>
  </si>
  <si>
    <t>1、钢筋种类、规格:Ⅰ级圆钢 Φ10以内
2、钢筋类型:非抗震钢筋
3、超高降效费综合考虑
4、综合考虑按图纸和规范要求而实施、完成这项工程的一切有关费用</t>
  </si>
  <si>
    <t>1、钢筋种类、规格:Ⅲ级螺纹钢 Φ10以内
2、钢筋类型:非抗震钢筋
3、超高降效费综合考虑
4、综合考虑按图纸和规范要求而实施、完成这项工程的一切有关费用</t>
  </si>
  <si>
    <t>1、钢筋种类、规格:Ⅲ级螺纹钢 Ф12-14
2、钢筋类型:非抗震钢筋
3、超高降效费综合考虑
4、综合考虑按图纸和规范要求而实施、完成这项工程的一切有关费用</t>
  </si>
  <si>
    <t>1、钢筋种类、规格:Ⅲ级螺纹钢 Φ16-25
2、钢筋类型:非抗震钢筋
3、超高降效费综合考虑
4、综合考虑按图纸和规范要求而实施、完成这项工程的一切有关费用</t>
  </si>
  <si>
    <t>预应力钢绞线(缓粘结)</t>
  </si>
  <si>
    <t>1、钢筋种类、规格：后张法预应力钢绞线 缓粘结
2、预应力位置：框架梁及次梁
3、超高降效费综合考虑
4、综合考虑按图纸和规范要求而实施、完成这项工程的一切有关费用</t>
  </si>
  <si>
    <t>锚具安装</t>
  </si>
  <si>
    <t>1、锚具安装 群锚
2、超高降效费综合考虑
3、综合考虑按图纸和规范要求而实施、完成这项工程的一切有关费用</t>
  </si>
  <si>
    <t>套</t>
  </si>
  <si>
    <t>1、连接方式:套筒连接
2、规格:Φ18
3、超高降效费综合考虑
4、综合考虑按图纸和规范要求而实施、完成这项工程的一切有关费用</t>
  </si>
  <si>
    <t>1、连接方式:套筒连接
2、规格:Φ20
3、超高降效费综合考虑
4、综合考虑按图纸和规范要求而实施、完成这项工程的一切有关费用</t>
  </si>
  <si>
    <t>1、连接方式:套筒连接
2、规格:Φ22
3、超高降效费综合考虑
4、综合考虑按图纸和规范要求而实施、完成这项工程的一切有关费用</t>
  </si>
  <si>
    <t>1、连接方式:套筒连接
2、规格:Φ25
3、超高降效费综合考虑
4、综合考虑按图纸和规范要求而实施、完成这项工程的一切有关费用</t>
  </si>
  <si>
    <t>1、连接方式:套筒连接
2、规格:Φ28
3、超高降效费综合考虑
4、综合考虑按图纸和规范要求而实施、完成这项工程的一切有关费用</t>
  </si>
  <si>
    <t>1、连接方式:套筒连接
2、规格:Φ32
3、超高降效费综合考虑
4、综合考虑按图纸和规范要求而实施、完成这项工程的一切有关费用</t>
  </si>
  <si>
    <t>屋面及雨棚部分等</t>
  </si>
  <si>
    <t>钢柱</t>
  </si>
  <si>
    <t>1、钢立柱
2、钢材品种、规格：Q235B 
3、钢构件表面采用喷砂除锈,除锈质量等级为Sa2.5级
4、金属结构件场外运输 运距综合考虑
5、超高降效费综合考虑
6、综合考虑按图纸和规范要求而实施、完成这项工程的一切有关费用</t>
  </si>
  <si>
    <t>钢梁</t>
  </si>
  <si>
    <t>1、型钢梁
2、钢材品种、规格：Q355B型钢梁
3、钢构件表面采用喷砂除锈,除锈质量等级为Sa2.5级
4、金属结构件场外运输 运距综合考虑
5、超高降效费综合考虑
6、综合考虑按图纸和规范要求而实施、完成这项工程的一切有关费用</t>
  </si>
  <si>
    <t>钢支撑</t>
  </si>
  <si>
    <t>1、水平支撑
2、钢材品种、规格：热镀锌Q235B
3、钢构件表面采用喷砂除锈,除锈质量等级为Sa2.5级
4、金属结构件场外运输 运距综合考虑
5、超高降效费综合考虑
6、综合考虑按图纸和规范要求而实施、完成这项工程的一切有关费用</t>
  </si>
  <si>
    <t>钢拉条</t>
  </si>
  <si>
    <t>1、钢拉条
2、钢材品种、规格：热镀锌Q235B、圆钢φ12mm、套管φ32.5*2.5、圆管φ219x5.0、圆管φ168x4.0、圆管φ114x5.0
3、钢构件表面采用喷砂除锈,除锈质量等级为Sa2.5级
4、金属结构件场外运输 运距综合考虑
5、超高降效费综合考虑
6、综合考虑按图纸和规范要求而实施、完成这项工程的一切有关费用</t>
  </si>
  <si>
    <t>隅撑</t>
  </si>
  <si>
    <t>1、隅撑
2、钢材品种、规格：热镀锌Q235B 角钢L63*5.0、角钢L40*4
3、钢构件表面采用喷砂除锈,除锈质量等级为Sa2.5级
4、金属结构件场外运输 运距综合考虑
5、超高降效费综合考虑
6、综合考虑按图纸和规范要求而实施、完成这项工程的一切有关费用</t>
  </si>
  <si>
    <t>钢檩条</t>
  </si>
  <si>
    <t>1、钢檩条
2、钢材品种、规格：热镀锌Q355B C型钢、XZ型钢
3、钢构件表面采用喷砂除锈,除锈质量等级为Sa2.5级
4、金属结构件场外运输 运距综合考虑
5、超高降效费综合考虑
6、综合考虑按图纸和规范要求而实施、完成这项工程的一切有关费用</t>
  </si>
  <si>
    <t>预埋铁件</t>
  </si>
  <si>
    <t>1.预埋铁件</t>
  </si>
  <si>
    <t>不锈钢护角</t>
  </si>
  <si>
    <t>1、L50*50*0.6厚不锈钢护角
2、综合考虑按图纸和规范要求而实施、完成这项工程的一切有关费用</t>
  </si>
  <si>
    <t>m</t>
  </si>
  <si>
    <t>雨棚彩钢板封边</t>
  </si>
  <si>
    <t>1、雨棚0.6厚彩钢板封边
2、综合考虑按图纸和规范要求而实施、完成这项工程的一切有关费用</t>
  </si>
  <si>
    <t>2.4厚塑钢瓦(屋面材料)钢板泛水板</t>
  </si>
  <si>
    <t>1、2.4厚塑钢瓦(屋面材料)钢板泛水板
2、综合考虑按图纸和规范要求而实施、完成这项工程的一切有关费用</t>
  </si>
  <si>
    <t>钢天沟</t>
  </si>
  <si>
    <t>1、材质：1.2厚不锈钢板内天沟
2、沟宽度：500mm×300mm
3、包含钢骨架、安装辅材等
4、超高降效费综合考虑
5、综合考虑按图纸和规范要求而实施、完成这项工程的一切有关费用</t>
  </si>
  <si>
    <t>钢檐沟</t>
  </si>
  <si>
    <t>1、材质：3厚不锈钢板内天沟
2、沟宽度：500mm×500mm
3、做法参图集15J207-1
4、超高降效费综合考虑
5、综合考虑按图纸和规范要求而实施、完成这项工程的一切有关费用</t>
  </si>
  <si>
    <t>金属面油漆（室外）</t>
  </si>
  <si>
    <t>1、构件名称:室外钢构件（镀锌构件除外）
2、底层漆油漆品种、刷漆遍数:环氧富锌底漆二道干膜厚度不小于70 μm
3、中间漆油漆品种、刷漆遍数:环氧云铁中间漆一道
干膜厚度不小于60 μm
4、面层漆油漆品种、刷漆遍数:两道聚氨酯面漆干膜厚度不小于70μm
5、建筑物超高增加人工、机械降效率高度30m
6、综合考虑按图纸和规范要求而实施、完成这项工程的一切有关费用</t>
  </si>
  <si>
    <t>金属面油漆（室内）</t>
  </si>
  <si>
    <t>1、构件名称:室内钢构件（镀锌构件除外）
2、底层漆油漆品种、刷漆遍数:醇酸底漆2遍干膜厚度不小于60μm
3、面层漆油漆品种、刷漆遍数:醇酸面漆2遍干膜厚度不小于60μm
4、建筑物超高增加人工、机械降效率高度30m
5、综合考虑按图纸和规范要求而实施、完成这项工程的一切有关费用</t>
  </si>
  <si>
    <t>雨棚面板</t>
  </si>
  <si>
    <t>1、0.6厚镀铝锌压型钢板
2、超高降效费综合考虑
3、综合考虑按图纸和规范要求而实施、完成这项工程的一切有关费用</t>
  </si>
  <si>
    <t>雨棚底板</t>
  </si>
  <si>
    <t>1、0.4mm厚镀铝锌压型钢板
2、超高降效费综合考虑
3、综合考虑按图纸和规范要求而实施、完成这项工程的一切有关费用</t>
  </si>
  <si>
    <t>钢结构防火涂料</t>
  </si>
  <si>
    <t>1、钢结构防火涂料
2、耐火极限(小时)1，膨胀型，防火保护层厚度(mm)≥1.5
3、综合考虑按图纸和规范要求而实施、完成这项工程的一切有关费用</t>
  </si>
  <si>
    <t>1、钢结构防火涂料
2、耐火极限(小时)2，非膨胀型，防火保护层厚度(mm)≥22
3、综合考虑按图纸和规范要求而实施、完成这项工程的一切有关费用</t>
  </si>
  <si>
    <t>1、钢结构防火涂料
2、耐火极限(小时)3，非膨胀型，防火保护层厚度(mm)≥36
3、综合考虑按图纸和规范要求而实施、完成这项工程的一切有关费用</t>
  </si>
  <si>
    <t>无收缩混凝土灌浆料</t>
  </si>
  <si>
    <t>1、混凝土种类:无收缩混凝土
2、混凝土强度等级:C40
3、综合考虑按图纸和规范要求而实施、完成这项工程的一切有关费用</t>
  </si>
  <si>
    <t>高强螺栓</t>
  </si>
  <si>
    <t>1、高强螺栓 M14
2、综合考虑按图纸和规范要求而实施、完成这项工程的一切有关费用</t>
  </si>
  <si>
    <t>1、高强螺栓 M20
2、综合考虑按图纸和规范要求而实施、完成这项工程的一切有关费用</t>
  </si>
  <si>
    <t>1、高强螺栓 M24
2、综合考虑按图纸和规范要求而实施、完成这项工程的一切有关费用</t>
  </si>
  <si>
    <t>墙面彩钢板部分</t>
  </si>
  <si>
    <t>1、钢立柱
2、钢材品种、规格：热浸镀锌Q235B U型钢41*41*2.5、U51X65(δ≥3mm)热浸镀锌槽钢
3、金属结构件场外运输 运距综合考虑
4、超高降效费综合考虑
5、综合考虑按图纸和规范要求而实施、完成这项工程的一切有关费用</t>
  </si>
  <si>
    <t>1、钢拉条
2、钢材品种、规格：热镀锌Q235B、圆钢φ12mm、套管φ32.5*2.5
3、金属结构件场外运输 运距综合考虑
4、超高降效费综合考虑
5、综合考虑按图纸和规范要求而实施、完成这项工程的一切有关费用</t>
  </si>
  <si>
    <t>1、钢檩条
2、钢材品种、规格：热镀锌Q355B C型钢300*80*20*2.0、300x80x20x2.5、300x80x20x3、300x80x20x3.5
3、金属结构件场外运输 运距综合考虑
4、超高降效费综合考虑
5、综合考虑按图纸和规范要求而实施、完成这项工程的一切有关费用</t>
  </si>
  <si>
    <t>铝型材</t>
  </si>
  <si>
    <t>1、铝型材
2、钢材品种、规格：深灰色氟碳烤漆
3、超高降效费综合考虑
4、综合考虑按图纸和规范要求而实施、完成这项工程的一切有关费用</t>
  </si>
  <si>
    <t>化学螺栓</t>
  </si>
  <si>
    <t>1、化学螺栓 M12
2、材质：304不锈钢
3、超高降效费综合考虑
4、综合考虑按图纸和规范要求而实施、完成这项工程的一切有关费用</t>
  </si>
  <si>
    <t>1、高强螺栓 M12
2、综合考虑按图纸和规范要求而实施、完成这项工程的一切有关费用</t>
  </si>
  <si>
    <t>1、高强螺栓 M16
2、综合考虑按图纸和规范要求而实施、完成这项工程的一切有关费用</t>
  </si>
  <si>
    <t>屋1.混凝土平屋面（倒置式屋面，一级防水,有保温层）</t>
  </si>
  <si>
    <t>屋面涂膜防水</t>
  </si>
  <si>
    <t>1、2.5mm厚非固化橡胶沥青防水涂料。在出屋面的墙体、阴阳角、管道根部、烟气道根部、屋面泛水、排水（水落）口、上屋面门槛外侧、变形缝等节点做防水附加增强层，防水附加增强层采用2.0厚聚合物水泥防水涂料并粘贴聚酯无纺布胎体增强，附加层宽度应按加强部位的每个方向外扩300。
2、防水搭接、附加层及加强层等综合考虑
3、超高降效费综合考虑
4、综合考虑按图纸和规范要求而实施、完成这项工程的一切有关费用</t>
  </si>
  <si>
    <t>屋面卷材防水</t>
  </si>
  <si>
    <t>1、4.0mm厚耐根穿刺SBS改性沥青防水卷材（Ⅱ型，聚酯胎）
2、防水搭接、附加层及加强层等综合考虑
3、超高降效费综合考虑
4、综合考虑按图纸和规范要求而实施、完成这项工程的一切有关费用</t>
  </si>
  <si>
    <t>1、3.0mm厚弹性体SBS改性沥青防水卷材（Ⅱ型，聚酯胎）
2、防水搭接、附加层及加强层等综合考虑
3、超高降效费综合考虑
4、综合考虑按图纸和规范要求而实施、完成这项工程的一切有关费用</t>
  </si>
  <si>
    <t>保温隔热屋面</t>
  </si>
  <si>
    <t>1、50厚挤塑聚苯板（燃烧性能等级B1级，抗压强度≥150KPa，容重≥32kg/m³，采用5厚胶粘剂粘结，保温板的下部排水方向边缘应设排水凹槽）
2、超高降效费综合考虑
3、综合考虑按图纸和规范要求而实施、完成这项工程的一切有关费用</t>
  </si>
  <si>
    <t>隔离层防腐</t>
  </si>
  <si>
    <t>1、聚乙烯薄膜（厚0.3~0.5mm）+无纺布（厚200g/m²）复合层≥0.8mm厚。
2、超高降效费综合考虑
3、综合考虑按图纸和规范要求而实施、完成这项工程的一切有关费用</t>
  </si>
  <si>
    <t>屋面保护层</t>
  </si>
  <si>
    <t>1、80厚C35细石混凝土，表面压光，内配c6@150x150冷轧带肋钢筋，底部设30mm砂浆垫块，掺入1.0~1.5kg/m³聚丙烯抗裂纤维，设分格缝≤6x6m（缝处钢筋网须断开），缝宽20mm，深40mm，与女儿墙及山墙交接处留30mm宽深缝，内嵌填聚乙烯泡沫棒，面嵌填7厚单组份聚氨酯密封胶。
2、超高降效费综合考虑
3、综合考虑按图纸和规范要求而实施、完成这项工程的一切有关费用</t>
  </si>
  <si>
    <t>混凝土面层</t>
  </si>
  <si>
    <t>1、面层： 20厚C30细石混凝土，待混凝土初凝后在表面压出横向防滑路纹。
2、超高降效费综合考虑
3、综合考虑按图纸和规范要求而实施、完成这项工程的一切有关费用</t>
  </si>
  <si>
    <t>屋2.金属压型板屋面</t>
  </si>
  <si>
    <t>钢屋面板</t>
  </si>
  <si>
    <t>1、2.4mm厚塑钢瓦（0.6mm厚压型镀铝锌钢板覆1.8mmTPO防水卷材），（钢板镀铝锌量不小于165q/m²，防水卷材采用灰色）
2、75厚离心玻璃棉保温层带单层铝箔隔热透气层(综合燃烧性能A级)
3、单价综合考虑屋脊、变形缝、SUS316不锈钢夹具等
4、超高降效费综合考虑
5、综合考虑按图纸和规范要求而实施、完成这项工程的一切有关费用</t>
  </si>
  <si>
    <t>包塑钢绞线</t>
  </si>
  <si>
    <t>1、钢筋种类、规格：1.5包塑钢绞线
2、预应力位置：压型钢板屋面
3、超高降效费综合考虑
4、综合考虑按图纸和规范要求而实施、完成这项工程的一切有关费用</t>
  </si>
  <si>
    <t>地1：地砖地面一（用于分拣用房、楼梯间、走廊、管理用房、档案室）</t>
  </si>
  <si>
    <t>混凝土地坪</t>
  </si>
  <si>
    <t>1、100厚C15混凝土兼找平
2、素土夯实，夯实系数达到94%
3、超高降效费综合考虑
4、综合考虑按图纸和规范要求而实施、完成这项工程的一切有关费用</t>
  </si>
  <si>
    <t>块料楼地面</t>
  </si>
  <si>
    <t>1、800*800*10mm哑面耐磨防滑地砖铺实拍平，白水泥或填缝剂擦缝。（用于楼梯间踏步防滑砖，砌出防滑条）（面砖规格颜色见装修图，送样选定）
2、30厚1：3干硬性水泥砂浆，表面撒水泥粉，淋适量清水。
3、素水泥浆一道（内掺6%建筑胶）
4、超高降效费综合考虑
5、综合考虑按图纸和规范要求而实施、完成这项工程的一切有关费用</t>
  </si>
  <si>
    <t>块料楼地面（楼梯间）</t>
  </si>
  <si>
    <t>1、600*600*10mm哑面耐磨防滑地砖铺实拍平，白水泥或填缝剂擦缝。（用于楼梯间踏步防滑砖，砌出防滑条）（面砖规格颜色见装修图，送样选定）
2、30厚1：3干硬性水泥砂浆，表面撒水泥粉，淋适量清水。
3、素水泥浆一道（内掺6%建筑胶）
4、超高降效费综合考虑
5、综合考虑按图纸和规范要求而实施、完成这项工程的一切有关费用</t>
  </si>
  <si>
    <t>块料楼地面(梯段)</t>
  </si>
  <si>
    <t>地2：地砖地面二（用于卫生间）</t>
  </si>
  <si>
    <t>细石混凝土楼地面</t>
  </si>
  <si>
    <t>1、25厚〔最薄处〕C2O细石砼找1%坡坡向地漏(与墙交接处抹成圆角),随手抹光。
2、素水泥浆一道(内掺6%建筑胶)
3、超高降效费综合考虑
4、综合考虑按图纸和规范要求而实施、完成这项工程的一切有关费用</t>
  </si>
  <si>
    <t>楼(地)面涂膜防水</t>
  </si>
  <si>
    <t>1、基层处理剂一道，1.5厚聚氨酯防水涂料（单组分Ⅰ型），满涂箱底及箱壁，并沿周边上翻高于完成面300（侧壁洒绿豆砂）（地漏、管根处、阴阳角(修补成R20圆弧形)等节点处250范围内做附加防水处理,附加防水层采用1.5厚JS聚合物水泥防水涂料）
2、超高降效费综合考虑
3、综合考虑按图纸和规范要求而实施、完成这项工程的一切有关费用</t>
  </si>
  <si>
    <t>水泥砂浆找平（平面）</t>
  </si>
  <si>
    <t>1、15厚M15水泥砂浆找平
2、超高降效费综合考虑
3、综合考虑按图纸和规范要求而实施、完成这项工程的一切有关费用</t>
  </si>
  <si>
    <t>水泥砂浆找平（侧壁）</t>
  </si>
  <si>
    <t>1、10厚M15水泥砂浆
2、超高降效费综合考虑
3、综合考虑按图纸和规范要求而实施、完成这项工程的一切有关费用</t>
  </si>
  <si>
    <t>轻骨料混凝土</t>
  </si>
  <si>
    <t>1、填充层LC7.5轻骨料混凝土
2、临时封堵好侧排口,48小时闭水试验。
3、超高降效费综合考虑
4、综合考虑按图纸和规范要求而实施、完成这项工程的一切有关费用</t>
  </si>
  <si>
    <t>1、25厚(最薄处)C20细石砼找1%坡坡向地漏或排水沟,内配φ4@150双向焊接钢筋网片
2、超高降效费综合考虑
3、综合考虑按图纸和规范要求而实施、完成这项工程的一切有关费用</t>
  </si>
  <si>
    <t>1、2.0厚聚合物水泥防水涂料（Ⅱ型），沿周边上翻高于完成面300，与相通房间延伸500，并向门口两侧方向各延伸200（地漏、管根处、阴阳角(修补成R20圆弧形)等节点处250范围内做附加防水处理,附加防水层采用1.5厚JS聚合物水泥防水涂料）
2、基层处理剂一道
3、超高降效费综合考虑
4、综合考虑按图纸和规范要求而实施、完成这项工程的一切有关费用</t>
  </si>
  <si>
    <t>1、600*600*10mm防滑地砖铺实拍平，白水泥或填缝剂擦缝
2、20厚M20水泥砂浆
3、超高降效费综合考虑
4、综合考虑按图纸和规范要求而实施、完成这项工程的一切有关费用</t>
  </si>
  <si>
    <t>地5：金属耐磨面层一（用于储存区、装卸平台）</t>
  </si>
  <si>
    <t>混凝土垫层</t>
  </si>
  <si>
    <t>1、200厚C15混凝土兼找平
2、超高降效费综合考虑
3、综合考虑按图纸和规范要求而实施、完成这项工程的一切有关费用</t>
  </si>
  <si>
    <t>1、200厚C30混凝土面层设分仓逢，内配单层双向φ8@150防裂钢筋网
2、超高降效费综合考虑
3、综合考虑按图纸和规范要求而实施、完成这项工程的一切有关费用</t>
  </si>
  <si>
    <t>金刚砂耐磨面层</t>
  </si>
  <si>
    <t>1、3厚金刚砂耐磨耐磨骨料(每平方米用料不少于6Kg。硬度大于莫氏7级。)，专用抹平机压实抹平
2、超高降效费综合考虑
3、综合考虑按图纸和规范要求而实施、完成这项工程的一切有关费用</t>
  </si>
  <si>
    <t>密封固化剂地面</t>
  </si>
  <si>
    <t>1、表面施工混凝土密封固化剂(0.5kg/m²)（施工做法参图集13CJ39，面层在浇筑混凝士过程中，应使用专用机械设备打磨、压光使之形成高强、致密的面层。金刚砂耐磨耐磨骨料须15d以后施工混凝土密封固化剂）（面层完成后做好保护措施，方可施工其他工序）
2、超高降效费综合考虑
3、综合考虑按图纸和规范要求而实施、完成这项工程的一切有关费用</t>
  </si>
  <si>
    <t>地7：水泥基自流平面层一（用于排烟机房、配电间、弱电间、强电井、弱电井、工具间、通信机房、走道、发电机房）</t>
  </si>
  <si>
    <t>水泥自流平地面</t>
  </si>
  <si>
    <t>1、封闭剂或混凝土固化剂1道
2、5厚水泥基自流平面层（燃烧性能A级）
3、自流平界面剂2道
4、超高降效费综合考虑
5、综合考虑按图纸和规范要求而实施、完成这项工程的一切有关费用</t>
  </si>
  <si>
    <t>地10：混凝土地面二（货物运输通道）</t>
  </si>
  <si>
    <t>水泥石粉渣稳定层</t>
  </si>
  <si>
    <t>1、300厚6%水泥石粉渣稳定层,压实系数≥95%
2、超高降效费综合考虑
3、综合考虑按图纸和规范要求而实施、完成这项工程的一切有关费用</t>
  </si>
  <si>
    <t>1、待混凝土初凝后在表面压出横向防滑路纹
2、230厚C30混凝土面层，内配单层双向c12@150防裂钢筋网，按4m~6m分仓跳格浇筑，纵向每格25m-30m设1道伸缝。缝宽20-30，内填沥青砂子或沥青处理，松木条嵌缝(柱四周200设分隔缝，缝宽20-30，内填沥青砂子或沥青处理，松木条嵌缝)
3、超高降效费综合考虑
4、综合考虑按图纸和规范要求而实施、完成这项工程的一切有关费用</t>
  </si>
  <si>
    <t>楼1：地砖楼面一（用于分拣用房、楼梯间、走廊\调度室\司机休息室\）</t>
  </si>
  <si>
    <t>1、800*800*10mm哑面地砖地砖铺实拍平，白水泥或填缝剂擦缝。（用于楼梯间踏步防滑砖，砌出防滑条）（面砖规格颜色见装修图，送样选定）
2、30厚1：3干硬性水泥砂浆，表面撒水泥粉，淋适量清水。
3、素水泥浆一道（内掺6%建筑胶）
4、超高降效费综合考虑
5、综合考虑按图纸和规范要求而实施、完成这项工程的一切有关费用</t>
  </si>
  <si>
    <t>楼2：地砖楼面二（用于卫生间）</t>
  </si>
  <si>
    <t>1、25厚〔最薄处〕C2O细石砼找1%坡坡向地漏(与墙交接处抹成圆角),随手抹光
2、素水泥浆一道(内掺6%建筑胶)
3、超高降效费综合考虑
4、综合考虑按图纸和规范要求而实施、完成这项工程的一切有关费用</t>
  </si>
  <si>
    <t>楼4：金属耐磨面层（用于储存区、装卸平台）</t>
  </si>
  <si>
    <t>楼5：地坪漆楼面（用于排烟机房、配电间、弱电间、强电井、弱电井、工具间）</t>
  </si>
  <si>
    <t>楼6：混凝土楼面一（货物运输通道）</t>
  </si>
  <si>
    <t>防滑路纹</t>
  </si>
  <si>
    <t>1、待混凝土初凝后在表面压出横向防滑路纹
2、超高降效费综合考虑
3、综合考虑按图纸和规范要求而实施、完成这项工程的一切有关费用</t>
  </si>
  <si>
    <t>外涂型水泥基渗透结品型防水层</t>
  </si>
  <si>
    <t>1、外涂型水泥基渗透结品型防水层（厚度1.0mm，用量1.5kg/m2，分两遍完成）（施工前混凝土面清干净后，充分喷水湿润，表面无明水，内部充分吸水）
2、综合考虑按图纸和规范要求而实施、完成这项工程的一切有关费用</t>
  </si>
  <si>
    <t>踢1：面砖、石材踢脚</t>
  </si>
  <si>
    <t>块料踢脚线</t>
  </si>
  <si>
    <t>1、界面处理剂一遍
2、瓷砖胶粘贴同地面颜色的5厚釉面砖，高100mm，加坡脚处理，填缝剂擦缝
3、超高降效费综合考虑
4、综合考虑按图纸和规范要求而实施、完成这项工程的一切有关费用</t>
  </si>
  <si>
    <t>踢3：涂料踢脚（高100mm）</t>
  </si>
  <si>
    <t>涂料踢脚</t>
  </si>
  <si>
    <t>1、喷或刷深灰色防霉防潮内墙涂料，高100mm（仓库高度200）：底漆一道，面漆两道
2、超高降效费综合考虑
3、综合考虑按图纸和规范要求而实施、完成这项工程的一切有关费用</t>
  </si>
  <si>
    <t>内墙面工程</t>
  </si>
  <si>
    <t>内1：涂料1</t>
  </si>
  <si>
    <t>墙面一般抹灰</t>
  </si>
  <si>
    <t>1、刷专用界面剂一道
2、15厚1:3水泥抗裂砂浆分两次抹平，每次7-8厚
3、5厚1:1:3水泥石灰砂浆罩面
4、超高降效费综合考虑
5、综合考虑按图纸和规范要求而实施、完成这项工程的一切有关费用</t>
  </si>
  <si>
    <t>抹灰面油漆</t>
  </si>
  <si>
    <t>1、2厚涂料自带专用耐水腻子二遍抹平
2、面层喷或刷白色内墙无机涂料,底涂料、中涂料，面涂料各一遍。
3、超高降效费综合考虑
4、综合考虑按图纸和规范要求而实施、完成这项工程的一切有关费用</t>
  </si>
  <si>
    <t>柱面一般抹灰</t>
  </si>
  <si>
    <t>柱面抹灰面油漆</t>
  </si>
  <si>
    <t>内3：面砖内墙（用于卫生间）</t>
  </si>
  <si>
    <t>1、刷专用界面剂一道
2、15厚1:3水泥抗裂砂浆分两次抹平，每次7-8厚
3、超高降效费综合考虑
4、综合考虑按图纸和规范要求而实施、完成这项工程的一切有关费用</t>
  </si>
  <si>
    <t>1、5厚聚合物水泥防水砂浆（单组分Ⅰ型）
2、超高降效费综合考虑
3、综合考虑按图纸和规范要求而实施、完成这项工程的一切有关费用</t>
  </si>
  <si>
    <t>块料墙面</t>
  </si>
  <si>
    <t>1、瓷砖胶粘贴600*300*10mm厚白色墙面砖（光面），白水泥浆擦缝
2、超高降效费综合考虑
3、综合考虑按图纸和规范要求而实施、完成这项工程的一切有关费用</t>
  </si>
  <si>
    <t>内4：面砖内墙（用于临钢板外墙的卫生间）</t>
  </si>
  <si>
    <t>墙面板</t>
  </si>
  <si>
    <t>1、12厚纤维增强硅酸钙板
2、超高降效费综合考虑
3、综合考虑按图纸和规范要求而实施、完成这项工程的一切有关费用</t>
  </si>
  <si>
    <t>内5：压型钢板内衬墙板（用于压型钢板外墙内衬墙板）</t>
  </si>
  <si>
    <t>墙面装饰板</t>
  </si>
  <si>
    <t>1、0.4（基板）厚镀铝锌压型彩钢板竖向通高布置，上部收边见节点大样图
2、超高降效费综合考虑
3、综合考虑按图纸和规范要求而实施、完成这项工程的一切有关费用</t>
  </si>
  <si>
    <t>内6：压型钢板内衬墙板（用于存储区5米高以上防火分区内隔墙）</t>
  </si>
  <si>
    <t>1、12厚水泥增强纤维板（轻钢龙骨骨架） 
2、超高降效费综合考虑
3、综合考虑按图纸和规范要求而实施、完成这项工程的一切有关费用</t>
  </si>
  <si>
    <t>1、2厚涂料自带专用耐水腻子二遍抹平
2、面层喷或刷白色内墙涂料二道
3、超高降效费综合考虑
4、综合考虑按图纸和规范要求而实施、完成这项工程的一切有关费用</t>
  </si>
  <si>
    <t>裙1：内墙柱阳角（护角材料可选）</t>
  </si>
  <si>
    <t>内墙柱阳角</t>
  </si>
  <si>
    <t>1、L75X6镀锌钢护角：防撞护角高度1.2米，距地200安装。（用于储存区内柱角、墙角、门角）
2、超高降效费综合考虑
3、综合考虑按图纸和规范要求而实施、完成这项工程的一切有关费用</t>
  </si>
  <si>
    <t>根</t>
  </si>
  <si>
    <t>挂网</t>
  </si>
  <si>
    <t>内墙面钉（挂）镀锌钢丝网</t>
  </si>
  <si>
    <t>1、墙、柱面钉(挂)镀锌钢(铁)网
2、镀锌铁丝网规格综合考虑
3、超高降效费综合考虑
4、综合考虑按图纸和规范要求而实施、完成这项工程的一切有关费用</t>
  </si>
  <si>
    <t>内墙面挂网抹灰人工增加费</t>
  </si>
  <si>
    <t>1、墙面挂网抹灰人工增加费
2、超高降效费综合考虑
3、综合考虑按图纸和规范要求而实施、完成这项工程的一切有关费用</t>
  </si>
  <si>
    <t>外墙面工程</t>
  </si>
  <si>
    <t>外1：涂料（一级防水)</t>
  </si>
  <si>
    <t>1、5厚M15水泥砂浆分两次抹灰，原浆压光，预留10宽分格缝
2、15厚M15水泥防水砂浆（掺5％防水剂）分两次抹灰，原浆压光，预留10宽分格缝
3、超高降效费综合考虑
4、综合考虑按图纸和规范要求而实施、完成这项工程的一切有关费用</t>
  </si>
  <si>
    <t>1、刮外墙耐水腻子两道，打磨平整（必须为专用外墙柔性腻子）
2、外墙专用涂料（包括：外墙腻子2道、底涂料、中涂料，面涂料各一遍），颜色见立面标注
3、超高降效费综合考虑
4、综合考虑按图纸和规范要求而实施、完成这项工程的一切有关费用</t>
  </si>
  <si>
    <t>外2：涂料（用于货物运输通道\架空区\行车坡道外立面侧结构柱及栏板）</t>
  </si>
  <si>
    <t>1、外墙专用涂料（包括：外墙腻子2道、底涂料、中涂料，面涂料各一遍），颜色见立面标注
2、超高降效费综合考虑
3、综合考虑按图纸和规范要求而实施、完成这项工程的一切有关费用</t>
  </si>
  <si>
    <t>外3、外4：压型钢板外墙</t>
  </si>
  <si>
    <t>墙、柱面装饰板</t>
  </si>
  <si>
    <t>1、坚铺O.6(基板)厚高强洁面镀铝锌压型彩钢板(颜色见立面图)
2、5O厚离心玻璃棉保温层、柔性不燃材料贴面(综合燃烧等级为A级)
3、超高降效费综合考虑
4、综合考虑按图纸和规范要求而实施、完成这项工程的一切有关费用</t>
  </si>
  <si>
    <t>挂网及其他</t>
  </si>
  <si>
    <t>外墙面钉（挂）镀锌钢丝网</t>
  </si>
  <si>
    <t>外墙面挂网抹灰人工增加费</t>
  </si>
  <si>
    <t>顶1：涂料顶棚1（室内一般顶棚）</t>
  </si>
  <si>
    <t>素水泥浆一道</t>
  </si>
  <si>
    <t>1、素水泥浆一道（内掺6%建筑胶）
2、超高降效费综合考虑
3、综合考虑按图纸和规范要求而实施、完成这项工程的一切有关费用</t>
  </si>
  <si>
    <t>刮腻子</t>
  </si>
  <si>
    <t>1、2厚涂料自带专用耐水腻子二遍抹平
2、超高降效费综合考虑
3、综合考虑按图纸和规范要求而实施、完成这项工程的一切有关费用</t>
  </si>
  <si>
    <t>天棚喷刷涂料</t>
  </si>
  <si>
    <t>1、白色内墙无机涂料,底涂料、中涂料，面涂料各一遍
2、超高降效费综合考虑
3、综合考虑按图纸和规范要求而实施、完成这项工程的一切有关费用</t>
  </si>
  <si>
    <t>顶3：涂料顶棚3（室外顶棚）（用于货物运输通道\架空区 \行车坡道）</t>
  </si>
  <si>
    <t>1、2厚面层耐水腻子二遍抹平
2、白色外墙涂料，底涂料、中涂料，面涂料各一遍
3、超高降效费综合考虑
4、综合考虑按图纸和规范要求而实施、完成这项工程的一切有关费用</t>
  </si>
  <si>
    <t>顶6：金属板吊顶（用于吊顶顶棚）</t>
  </si>
  <si>
    <t>（详见装修设计）</t>
  </si>
  <si>
    <t>平面吊顶天棚</t>
  </si>
  <si>
    <t>1、吊顶：（上）配套金属龙骨
2、铝合金方形板为600X600X0.8mm
3、超高降效费综合考虑
4、综合考虑按图纸和规范要求而实施、完成这项工程的一切有关费用</t>
  </si>
  <si>
    <t>吊顶天棚转换层</t>
  </si>
  <si>
    <t>1、钢骨架吊顶天棚转换层
2、镀锌角钢L50×4.0吊杆，膨胀螺栓固定
3、X向主杆件型号镀锌角钢L63X6.0
4、Y向次杆件型号镀锌角钢L63X4.0
5、另以上工作内容及未提及部分详见相关规范、招标文件及图纸要求</t>
  </si>
  <si>
    <t>顶7：吸声板吊顶（用于发电机房、分拣用房房）</t>
  </si>
  <si>
    <t>以发电机房专业为准</t>
  </si>
  <si>
    <t>1、专用吊挂件与楼板采用减震吊钩连接。
2、铝合金配套T型龙骨中间填吸声棉,双向中距600
3、15厚600x600玻璃棉装饰吸声板搁置于龙骨翼缘上
4、超高降效费综合考虑
5、综合考虑按图纸和规范要求而实施、完成这项工程的一切有关费用</t>
  </si>
  <si>
    <t>浅灰色成品钢质甲级防火门 单扇</t>
  </si>
  <si>
    <t>1、浅灰色成品钢质甲级防火门单扇 制安
2、含启闭器、顺序器、观察窗、五金等配件
3、超高降效费综合考虑
4、综合考虑按图纸和规范要求而实施、完成这项工程的一切有关费用</t>
  </si>
  <si>
    <t>浅灰色成品钢质甲级防火门 双扇</t>
  </si>
  <si>
    <t>1、浅灰色成品钢质甲级防火门双扇 制安
2、含启闭器、顺序器、观察窗、五金等配件
3、超高降效费综合考虑
4、综合考虑按图纸和规范要求而实施、完成这项工程的一切有关费用</t>
  </si>
  <si>
    <t>防火卷帘门</t>
  </si>
  <si>
    <t>1、防火卷帘门 制安
2、含电机五金等配件
3、超高降效费综合考虑
4、综合考虑按图纸和规范要求而实施、完成这项工程的一切有关费用</t>
  </si>
  <si>
    <t>钢制平开门</t>
  </si>
  <si>
    <t>1、钢制平开门 制安
2、含五金等配件
3、超高降效费综合考虑
4、综合考虑按图纸和规范要求而实施、完成这项工程的一切有关费用</t>
  </si>
  <si>
    <t>浅灰色夹板门</t>
  </si>
  <si>
    <t>1、浅灰色夹板门
2、含五金等配件
3、超高降效费综合考虑
4、综合考虑按图纸和规范要求而实施、完成这项工程的一切有关费用</t>
  </si>
  <si>
    <t>浅灰色滑升门</t>
  </si>
  <si>
    <t>1、浅灰色滑升门
2、含五金等配件
3、超高降效费综合考虑
4、综合考虑按图纸和规范要求而实施、完成这项工程的一切有关费用</t>
  </si>
  <si>
    <t>铝合金门联窗</t>
  </si>
  <si>
    <t>1、铝合金门联窗 制安
2、110系列粉末喷涂、壁厚2.2mm、6mm厚单层透明钢化玻璃
3、五金配件及其他:含窗锁及配套五金配件等
4、超高降效费综合考虑
5、综合考虑按图纸和规范要求而实施、完成这项工程的一切有关费用</t>
  </si>
  <si>
    <t>铝合金固定窗</t>
  </si>
  <si>
    <t>1、铝合金固定窗 制安
2、70系列粉末喷涂、壁厚1.8mm、6mm厚单层透明钢化玻璃
3、五金配件及其他:含窗锁及配套五金配件等
4、超高降效费综合考虑
5、综合考虑按图纸和规范要求而实施、完成这项工程的一切有关费用</t>
  </si>
  <si>
    <t>铝合金上悬窗</t>
  </si>
  <si>
    <t>1、铝合金上悬窗 制安
2、70系列粉末喷涂、壁厚1.8mm、6mm厚单层透明钢化玻璃
3、五金配件及其他:含窗锁及配套五金配件等
4、超高降效费综合考虑
5、综合考虑按图纸和规范要求而实施、完成这项工程的一切有关费用</t>
  </si>
  <si>
    <t>浅灰色铝合金百叶窗</t>
  </si>
  <si>
    <t>1、浅灰色铝合金百叶窗 制安
2、含五金等配件
3、超高降效费综合考虑
4、综合考虑按图纸和规范要求而实施、完成这项工程的一切有关费用</t>
  </si>
  <si>
    <t>手动开窗器 一拖二</t>
  </si>
  <si>
    <t>1、手动开窗器 一拖二
2、超高降效费综合考虑
3、综合考虑按图纸和规范要求而实施、完成这项工程的一切有关费用</t>
  </si>
  <si>
    <t>手动开窗器 一拖四</t>
  </si>
  <si>
    <t>1、手动开窗器 一拖四
2、超高降效费综合考虑
3、综合考虑按图纸和规范要求而实施、完成这项工程的一切有关费用</t>
  </si>
  <si>
    <t>手动开窗器 一拖六</t>
  </si>
  <si>
    <t>1、手动开窗器 一拖六
2、超高降效费综合考虑
3、综合考虑按图纸和规范要求而实施、完成这项工程的一切有关费用</t>
  </si>
  <si>
    <t>手动开窗器 一拖八</t>
  </si>
  <si>
    <t>1、手动开窗器 一拖八
2、超高降效费综合考虑
3、综合考虑按图纸和规范要求而实施、完成这项工程的一切有关费用</t>
  </si>
  <si>
    <t>手动开窗器 一拖九</t>
  </si>
  <si>
    <t>1、手动开窗器 一拖九
2、超高降效费综合考虑
3、综合考虑按图纸和规范要求而实施、完成这项工程的一切有关费用</t>
  </si>
  <si>
    <t>屋面采光排烟窗</t>
  </si>
  <si>
    <t>1、屋面采光排烟窗
2、含五金配件、布线费、电箱等
3、系统性能试验等综合考虑、单价中包含二次深化设计等费用
4、建筑物超高增加人工、机械降效率高度30m
5、综合考虑按图纸和规范要求而实施、完成这项工程的一切有关费用</t>
  </si>
  <si>
    <t>散2：隐藏式混凝土散水</t>
  </si>
  <si>
    <t>1、60厚中砂铺垫
2、素土夯实（密实度≥94%），向外坡3～5%</t>
  </si>
  <si>
    <t>基础垫层</t>
  </si>
  <si>
    <t>1、60厚C15混凝土，面加5厚M20地面砂浆随打随抹光（散水宽度800mm），散水坡与外墙交接处留变形缝，缝宽20mm，防水油膏嵌缝</t>
  </si>
  <si>
    <t>1、200～300厚种植土</t>
  </si>
  <si>
    <t>坡2：地砖、广场砖、花岗岩坡道（台阶，面层可选）</t>
  </si>
  <si>
    <t>1、10厚地砖面层，横向铺配套防滑条地砖，中距300，水泥砂浆勾缝
2、撒素水泥面,洒适量清水(毛面花岗岩取消本层)
3、20厚1:3干硬性水泥砂浆结合层
4、素水泥浆一道(内掺建筑胶)</t>
  </si>
  <si>
    <t>防火墙与侧墙连接</t>
  </si>
  <si>
    <t>1、12厚纤维增强硅酸钙板背板
2、100mm厚防火岩棉(100kg/m3)
3、12厚纤维增强硅酸钙板面板
4、超高降效费综合考虑
5、综合考虑按图纸和规范要求而实施、完成这项工程的一切有关费用</t>
  </si>
  <si>
    <t>楼面变形缝</t>
  </si>
  <si>
    <t>1、楼面变形缝
2、具体详见14J936、PAD3、大样2
3、超高降效费综合考虑
4、综合考虑按图纸和规范要求而实施、完成这项工程的一切有关费用</t>
  </si>
  <si>
    <t>外墙变形缝</t>
  </si>
  <si>
    <t>1、夹芯板外墙变形缝
2、具体详见17J925-1、P3-16、大样7
3、超高降效费综合考虑
4、综合考虑按图纸和规范要求而实施、完成这项工程的一切有关费用</t>
  </si>
  <si>
    <t>楼梯不锈钢栏杆</t>
  </si>
  <si>
    <t>1、不锈钢栏杆 H=900mm 制安
2、栏杆材料：φ60*3不锈钢管立柱，φ60*3不锈钢扶手等
3、具体详见22J403-1、P2-8页、选用B3
4、超高降效费综合考虑
5、综合考虑按图纸和规范要求而实施、完成这项工程的一切有关费用</t>
  </si>
  <si>
    <t>护窗栏杆</t>
  </si>
  <si>
    <t>1、不锈钢栏杆 H=1000mm 制安
2、栏杆材料：φ50*1.5不锈钢管，φ20*1.5@110不锈钢管等
3、具体详见22J403-1、P4-24页、选用HC8
4、超高降效费综合考虑
5、综合考虑按图纸和规范要求而实施、完成这项工程的一切有关费用</t>
  </si>
  <si>
    <t>坡道栏板栏杆</t>
  </si>
  <si>
    <t>1、镀锌钢栏杆橙色烤漆 H=300mm 制安
2、栏杆材料：镀锌钢管立柱6厚，φ100*5不锈钢扶手等
3、超高降效费综合考虑
4、综合考虑按图纸和规范要求而实施、完成这项工程的一切有关费用</t>
  </si>
  <si>
    <t>不锈钢室外栏杆</t>
  </si>
  <si>
    <t>1、不锈钢栏杆 H=1100mm 制安
2、栏杆材料：φ60*5不锈钢钢管立柱，φ65*3不锈钢扶手等
3、具体详见22J403-1、P3-49页、选用PB37
4、超高降效费综合考虑
5、综合考虑按图纸和规范要求而实施、完成这项工程的一切有关费用</t>
  </si>
  <si>
    <t>室外钢台阶</t>
  </si>
  <si>
    <t>1、室外钢台阶 制安
2、具体详见15J401、PA4页
3、超高降效费综合考虑
4、综合考虑按图纸和规范要求而实施、完成这项工程的一切有关费用</t>
  </si>
  <si>
    <t>钢爬梯</t>
  </si>
  <si>
    <t>1、钢楼梯 爬式
2、具体详见15J401、T5-A25页
3、超高降效费综合考虑
4、综合考虑按图纸和规范要求而实施、完成这项工程的一切有关费用</t>
  </si>
  <si>
    <t>防撞柱</t>
  </si>
  <si>
    <t>1、防撞柱 H=1200
2、φ120x3.5镀锌钢管 外涂黄黑相间警示油漆
3、内注C15细石混凝土、200PVC管切面50mm高、C15细石混凝土灌注密实、PVC管面刷漆
4、具体详图纸大样
5、超高降效费综合考虑
6、综合考虑按图纸和规范要求而实施、完成这项工程的一切有关费用</t>
  </si>
  <si>
    <t>1、防撞柱 H=600
2、φ120x3.5镀锌钢管 外涂黄黑相间警示油漆
3、内注C15细石混凝土、200PVC管切面50mm高、C15细石混凝土灌注密实、PVC管面刷漆
4、具体详图纸大样
5、超高降效费综合考虑
6、综合考虑按图纸和规范要求而实施、完成这项工程的一切有关费用</t>
  </si>
  <si>
    <t>洗漱台</t>
  </si>
  <si>
    <t>1、20mm浅灰色大理石
2、L50×3mm镀锌角钢架
3、超高降效费综合考虑
4、综合考虑按图纸和规范要求而实施、完成这项工程的一切有关费用</t>
  </si>
  <si>
    <t>洗手台镜子</t>
  </si>
  <si>
    <t>1、6mm厚防雾银镜
2、超高降效费综合考虑
3、综合考虑按图纸和规范要求而实施、完成这项工程的一切有关费用</t>
  </si>
  <si>
    <t>卫生间隔断</t>
  </si>
  <si>
    <t>1、18mm抗倍特板成品隔断
2、超高降效费综合考虑
3、综合考虑按图纸和规范要求而实施、完成这项工程的一切有关费用</t>
  </si>
  <si>
    <t>合    计</t>
  </si>
  <si>
    <t>工作内容</t>
  </si>
  <si>
    <t>价格(元)</t>
  </si>
  <si>
    <t>备注</t>
  </si>
  <si>
    <t>011601001004</t>
  </si>
  <si>
    <t>脚手架</t>
  </si>
  <si>
    <t>1849734.67</t>
  </si>
  <si>
    <t>011601002004</t>
  </si>
  <si>
    <t>垂直运输</t>
  </si>
  <si>
    <t>934001.75</t>
  </si>
  <si>
    <t>011601003004</t>
  </si>
  <si>
    <t>其他大型机械进出场及安拆</t>
  </si>
  <si>
    <t>36895.06</t>
  </si>
  <si>
    <t>011601004004</t>
  </si>
  <si>
    <t>施工排水</t>
  </si>
  <si>
    <t>011601005004</t>
  </si>
  <si>
    <t>施工降水</t>
  </si>
  <si>
    <t>6</t>
  </si>
  <si>
    <t>011601006004</t>
  </si>
  <si>
    <t>临时设施</t>
  </si>
  <si>
    <t>588153.43</t>
  </si>
  <si>
    <t>7</t>
  </si>
  <si>
    <t>011601007004</t>
  </si>
  <si>
    <t>文明施工</t>
  </si>
  <si>
    <t>497668.29</t>
  </si>
  <si>
    <t>8</t>
  </si>
  <si>
    <t>011601008004</t>
  </si>
  <si>
    <t>环境保护</t>
  </si>
  <si>
    <t>452425.72</t>
  </si>
  <si>
    <t>9</t>
  </si>
  <si>
    <t>011601009004</t>
  </si>
  <si>
    <t>安全生产</t>
  </si>
  <si>
    <t>最高投标限价:1505089.62 元</t>
  </si>
  <si>
    <t>10</t>
  </si>
  <si>
    <t>011601010004</t>
  </si>
  <si>
    <t>冬雨季施工增加</t>
  </si>
  <si>
    <t>11</t>
  </si>
  <si>
    <t>011601011004</t>
  </si>
  <si>
    <t>夜间施工措施费</t>
  </si>
  <si>
    <t>12</t>
  </si>
  <si>
    <t>011601012004</t>
  </si>
  <si>
    <t>特殊地区施工增加</t>
  </si>
  <si>
    <t>13</t>
  </si>
  <si>
    <t>011601013004</t>
  </si>
  <si>
    <t>二次搬运</t>
  </si>
  <si>
    <t>14</t>
  </si>
  <si>
    <t>011601014004</t>
  </si>
  <si>
    <t>已完工程及设备保护</t>
  </si>
  <si>
    <t>15</t>
  </si>
  <si>
    <t>011601015004</t>
  </si>
  <si>
    <t>既有建(构)筑物、设施保护</t>
  </si>
  <si>
    <t>16</t>
  </si>
  <si>
    <t>BC001010</t>
  </si>
  <si>
    <t>文明工地措施费</t>
  </si>
  <si>
    <t>省级文明工地按2.10%计算；市级文明工地按1.20%计算</t>
  </si>
  <si>
    <t>17</t>
  </si>
  <si>
    <t>BC003004</t>
  </si>
  <si>
    <t>洞内、地下室内、库内或暗室内(需要照明)进行施工措施费</t>
  </si>
  <si>
    <t>18</t>
  </si>
  <si>
    <t>BC006010</t>
  </si>
  <si>
    <t>施工现场围挡和临时占地围挡</t>
  </si>
  <si>
    <t>19</t>
  </si>
  <si>
    <t>BC007010</t>
  </si>
  <si>
    <t>施工围档照明</t>
  </si>
  <si>
    <t>20</t>
  </si>
  <si>
    <t>BC008004</t>
  </si>
  <si>
    <t>临时钢管架通道</t>
  </si>
  <si>
    <t>21</t>
  </si>
  <si>
    <t>BC009009</t>
  </si>
  <si>
    <t>样板引路</t>
  </si>
  <si>
    <t>22</t>
  </si>
  <si>
    <t>BC010004</t>
  </si>
  <si>
    <t>地上、地下设施、建筑物的临时保护设施</t>
  </si>
  <si>
    <t>23</t>
  </si>
  <si>
    <t>BC016004</t>
  </si>
  <si>
    <t>靠脚手架安全板</t>
  </si>
  <si>
    <t>24</t>
  </si>
  <si>
    <t>BC017004</t>
  </si>
  <si>
    <t>围尼龙编织布</t>
  </si>
  <si>
    <t>25</t>
  </si>
  <si>
    <t>BC018008</t>
  </si>
  <si>
    <t>防尘降噪绿色施工防护棚</t>
  </si>
  <si>
    <t>26</t>
  </si>
  <si>
    <t>BC019008</t>
  </si>
  <si>
    <t>施工便道</t>
  </si>
  <si>
    <t>-</t>
  </si>
  <si>
    <t>其他项目清单计价表</t>
  </si>
  <si>
    <t>工程名称:</t>
  </si>
  <si>
    <t>3#4#仓库土建装饰工程</t>
  </si>
  <si>
    <t>标段：</t>
  </si>
  <si>
    <t>第1页, 共1页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</si>
  <si>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</si>
  <si>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</si>
  <si>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</si>
  <si>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</si>
  <si>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</si>
  <si>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</t>
  </si>
  <si>
    <t>计日工</t>
  </si>
  <si>
    <t>总承包服务费</t>
  </si>
  <si>
    <t>预算包干费</t>
  </si>
  <si>
    <t>按分部分项的人工费与施工机具费之和的7.00%计算</t>
  </si>
  <si>
    <t>工程优质费</t>
  </si>
  <si>
    <t>市级质量奖按4.5%计算；省级质量奖7.5%计算；国家级质量奖12%计算</t>
  </si>
  <si>
    <t>合同中约定的其他项目</t>
  </si>
  <si>
    <t>暂列金额明细表</t>
  </si>
  <si>
    <t>计算基础</t>
  </si>
  <si>
    <t>费率(%)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</si>
  <si>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</si>
  <si>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</si>
  <si>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</si>
  <si>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</si>
  <si>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</si>
  <si>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</si>
  <si>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</si>
  <si>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</si>
  <si>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本页小计</t>
  </si>
  <si>
    <t>—</t>
  </si>
  <si>
    <t>注：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</si>
  <si>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</si>
  <si>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增值税计价表</t>
  </si>
  <si>
    <t>计算基础说明</t>
  </si>
  <si>
    <t>税率(%)</t>
  </si>
  <si>
    <t>税前工程造价-专业工程暂估价</t>
  </si>
  <si>
    <t>53944773.460</t>
  </si>
  <si>
    <t>9.00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</si>
</sst>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7">
    <font>
      <sz val="9"/>
      <name val="SimSun"/>
      <charset val="134"/>
    </font>
    <font>
      <b/>
      <sz val="20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9"/>
      <color rgb="FFFF0000"/>
      <name val="SimSun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right" wrapText="1"/>
    </xf>
    <xf numFmtId="0" fontId="2" fillId="2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2" fontId="3" fillId="2" borderId="1" xfId="0" applyNumberFormat="1" applyFont="1" applyFill="1" applyBorder="1" applyAlignment="1">
      <alignment horizontal="left" vertical="center" wrapText="1"/>
    </xf>
    <xf numFmtId="176" fontId="3" fillId="2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top" wrapText="1"/>
    </xf>
    <xf numFmtId="1" fontId="3" fillId="2" borderId="1" xfId="0" applyNumberFormat="1" applyFont="1" applyFill="1" applyBorder="1" applyAlignment="1">
      <alignment horizontal="left" vertical="center" wrapText="1"/>
    </xf>
    <xf numFmtId="0" fontId="5" fillId="0" borderId="0" xfId="0" applyFont="1"/>
    <xf numFmtId="1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left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right" vertical="center" wrapText="1"/>
    </xf>
    <xf numFmtId="2" fontId="6" fillId="2" borderId="1" xfId="0" applyNumberFormat="1" applyFont="1" applyFill="1" applyBorder="1" applyAlignment="1">
      <alignment horizontal="right" vertical="center" wrapText="1"/>
    </xf>
    <xf numFmtId="1" fontId="6" fillId="2" borderId="1" xfId="0" applyNumberFormat="1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A1" sqref="A1:C1"/>
    </sheetView>
  </sheetViews>
  <sheetFormatPr defaultColWidth="9" defaultRowHeight="11.25" outlineLevelCol="7"/>
  <cols>
    <col min="1" max="1" width="4.97777777777778" customWidth="1"/>
    <col min="2" max="2" width="6.83333333333333" customWidth="1"/>
    <col min="3" max="3" width="4.25555555555556" customWidth="1"/>
    <col min="4" max="4" width="36.4333333333333" customWidth="1"/>
    <col min="5" max="5" width="9.26666666666667" customWidth="1"/>
    <col min="6" max="6" width="20.7" customWidth="1"/>
    <col min="7" max="7" width="4.25555555555556" customWidth="1"/>
    <col min="8" max="8" width="24.4" customWidth="1"/>
  </cols>
  <sheetData>
    <row r="1" ht="23" customHeight="1" spans="1:8">
      <c r="A1" s="5" t="s">
        <v>0</v>
      </c>
      <c r="B1" s="5"/>
      <c r="C1" s="5"/>
      <c r="D1" s="5" t="s">
        <v>1</v>
      </c>
      <c r="E1" s="5"/>
      <c r="F1" s="5"/>
      <c r="G1" s="5" t="s">
        <v>2</v>
      </c>
      <c r="H1" s="5"/>
    </row>
    <row r="2" ht="23" customHeight="1" spans="1:8">
      <c r="A2" s="6" t="s">
        <v>3</v>
      </c>
      <c r="B2" s="6"/>
      <c r="C2" s="6"/>
      <c r="D2" s="7" t="s">
        <v>4</v>
      </c>
      <c r="E2" s="7"/>
      <c r="F2" s="7"/>
      <c r="G2" s="10" t="s">
        <v>5</v>
      </c>
      <c r="H2" s="10"/>
    </row>
    <row r="3" ht="23" customHeight="1" spans="1:8">
      <c r="A3" s="6" t="s">
        <v>6</v>
      </c>
      <c r="B3" s="6"/>
      <c r="C3" s="6"/>
      <c r="D3" s="7" t="s">
        <v>7</v>
      </c>
      <c r="E3" s="7"/>
      <c r="F3" s="7"/>
      <c r="G3" s="10" t="s">
        <v>8</v>
      </c>
      <c r="H3" s="10"/>
    </row>
    <row r="4" ht="23" customHeight="1" spans="1:8">
      <c r="A4" s="6" t="s">
        <v>9</v>
      </c>
      <c r="B4" s="6"/>
      <c r="C4" s="6"/>
      <c r="D4" s="7" t="s">
        <v>10</v>
      </c>
      <c r="E4" s="7"/>
      <c r="F4" s="7"/>
      <c r="G4" s="10" t="s">
        <v>11</v>
      </c>
      <c r="H4" s="10"/>
    </row>
    <row r="5" ht="23" customHeight="1" spans="1:8">
      <c r="A5" s="6" t="s">
        <v>12</v>
      </c>
      <c r="B5" s="6"/>
      <c r="C5" s="6"/>
      <c r="D5" s="7" t="s">
        <v>13</v>
      </c>
      <c r="E5" s="7"/>
      <c r="F5" s="7"/>
      <c r="G5" s="10" t="s">
        <v>14</v>
      </c>
      <c r="H5" s="10"/>
    </row>
    <row r="6" ht="23" customHeight="1" spans="1:8">
      <c r="A6" s="6" t="s">
        <v>15</v>
      </c>
      <c r="B6" s="6"/>
      <c r="C6" s="6"/>
      <c r="D6" s="7" t="s">
        <v>16</v>
      </c>
      <c r="E6" s="7"/>
      <c r="F6" s="7"/>
      <c r="G6" s="10" t="s">
        <v>17</v>
      </c>
      <c r="H6" s="10"/>
    </row>
    <row r="7" ht="23" customHeight="1" spans="1:8">
      <c r="A7" s="6" t="s">
        <v>18</v>
      </c>
      <c r="B7" s="6"/>
      <c r="C7" s="6"/>
      <c r="D7" s="7" t="s">
        <v>19</v>
      </c>
      <c r="E7" s="7"/>
      <c r="F7" s="7"/>
      <c r="G7" s="10" t="s">
        <v>20</v>
      </c>
      <c r="H7" s="10"/>
    </row>
    <row r="8" ht="23" customHeight="1" spans="1:8">
      <c r="A8" s="6" t="s">
        <v>21</v>
      </c>
      <c r="B8" s="6"/>
      <c r="C8" s="6"/>
      <c r="D8" s="7" t="s">
        <v>22</v>
      </c>
      <c r="E8" s="7"/>
      <c r="F8" s="7"/>
      <c r="G8" s="10" t="s">
        <v>23</v>
      </c>
      <c r="H8" s="10"/>
    </row>
    <row r="9" ht="23" customHeight="1" spans="1:8">
      <c r="A9" s="6" t="s">
        <v>24</v>
      </c>
      <c r="B9" s="6"/>
      <c r="C9" s="6"/>
      <c r="D9" s="7" t="s">
        <v>25</v>
      </c>
      <c r="E9" s="7"/>
      <c r="F9" s="7"/>
      <c r="G9" s="10" t="s">
        <v>26</v>
      </c>
      <c r="H9" s="10"/>
    </row>
    <row r="10" ht="23" customHeight="1" spans="1:8">
      <c r="A10" s="6" t="s">
        <v>27</v>
      </c>
      <c r="B10" s="6"/>
      <c r="C10" s="6"/>
      <c r="D10" s="7" t="s">
        <v>28</v>
      </c>
      <c r="E10" s="7"/>
      <c r="F10" s="7"/>
      <c r="G10" s="10" t="s">
        <v>29</v>
      </c>
      <c r="H10" s="10"/>
    </row>
    <row r="11" ht="23" customHeight="1" spans="1:8">
      <c r="A11" s="6" t="s">
        <v>30</v>
      </c>
      <c r="B11" s="6"/>
      <c r="C11" s="6"/>
      <c r="D11" s="7" t="s">
        <v>31</v>
      </c>
      <c r="E11" s="7"/>
      <c r="F11" s="7"/>
      <c r="G11" s="10" t="s">
        <v>32</v>
      </c>
      <c r="H11" s="10"/>
    </row>
    <row r="12" ht="23" customHeight="1" spans="1:8">
      <c r="A12" s="6" t="s">
        <v>33</v>
      </c>
      <c r="B12" s="6"/>
      <c r="C12" s="6"/>
      <c r="D12" s="7" t="s">
        <v>34</v>
      </c>
      <c r="E12" s="7"/>
      <c r="F12" s="7"/>
      <c r="G12" s="10" t="s">
        <v>35</v>
      </c>
      <c r="H12" s="10"/>
    </row>
    <row r="13" ht="23" customHeight="1" spans="1:8">
      <c r="A13" s="6" t="s">
        <v>36</v>
      </c>
      <c r="B13" s="6"/>
      <c r="C13" s="6"/>
      <c r="D13" s="7" t="s">
        <v>37</v>
      </c>
      <c r="E13" s="7"/>
      <c r="F13" s="7"/>
      <c r="G13" s="10" t="s">
        <v>38</v>
      </c>
      <c r="H13" s="10"/>
    </row>
    <row r="14" ht="23" customHeight="1" spans="1:8">
      <c r="A14" s="6" t="s">
        <v>39</v>
      </c>
      <c r="B14" s="6"/>
      <c r="C14" s="6"/>
      <c r="D14" s="7" t="s">
        <v>40</v>
      </c>
      <c r="E14" s="7"/>
      <c r="F14" s="7"/>
      <c r="G14" s="10" t="s">
        <v>41</v>
      </c>
      <c r="H14" s="10"/>
    </row>
    <row r="15" ht="23" customHeight="1" spans="1:8">
      <c r="A15" s="6" t="s">
        <v>42</v>
      </c>
      <c r="B15" s="6"/>
      <c r="C15" s="6"/>
      <c r="D15" s="7" t="s">
        <v>43</v>
      </c>
      <c r="E15" s="7"/>
      <c r="F15" s="7"/>
      <c r="G15" s="10" t="s">
        <v>44</v>
      </c>
      <c r="H15" s="10"/>
    </row>
    <row r="16" ht="23" customHeight="1" spans="1:8">
      <c r="A16" s="6" t="s">
        <v>45</v>
      </c>
      <c r="B16" s="6"/>
      <c r="C16" s="6"/>
      <c r="D16" s="7" t="s">
        <v>46</v>
      </c>
      <c r="E16" s="7"/>
      <c r="F16" s="7"/>
      <c r="G16" s="10" t="s">
        <v>47</v>
      </c>
      <c r="H16" s="10"/>
    </row>
    <row r="17" ht="23" customHeight="1" spans="1:8">
      <c r="A17" s="6" t="s">
        <v>48</v>
      </c>
      <c r="B17" s="6"/>
      <c r="C17" s="6"/>
      <c r="D17" s="7" t="s">
        <v>49</v>
      </c>
      <c r="E17" s="7"/>
      <c r="F17" s="7"/>
      <c r="G17" s="10" t="s">
        <v>50</v>
      </c>
      <c r="H17" s="10"/>
    </row>
    <row r="18" ht="23" customHeight="1" spans="1:8">
      <c r="A18" s="6" t="s">
        <v>51</v>
      </c>
      <c r="B18" s="6"/>
      <c r="C18" s="6"/>
      <c r="D18" s="7" t="s">
        <v>52</v>
      </c>
      <c r="E18" s="7"/>
      <c r="F18" s="7"/>
      <c r="G18" s="10" t="s">
        <v>53</v>
      </c>
      <c r="H18" s="10"/>
    </row>
    <row r="19" ht="23" customHeight="1" spans="1:8">
      <c r="A19" s="6" t="s">
        <v>54</v>
      </c>
      <c r="B19" s="6"/>
      <c r="C19" s="6"/>
      <c r="D19" s="7" t="s">
        <v>55</v>
      </c>
      <c r="E19" s="7"/>
      <c r="F19" s="7"/>
      <c r="G19" s="10" t="s">
        <v>53</v>
      </c>
      <c r="H19" s="10"/>
    </row>
    <row r="20" ht="23" customHeight="1" spans="1:8">
      <c r="A20" s="6" t="s">
        <v>56</v>
      </c>
      <c r="B20" s="6"/>
      <c r="C20" s="6"/>
      <c r="D20" s="7" t="s">
        <v>57</v>
      </c>
      <c r="E20" s="7"/>
      <c r="F20" s="7"/>
      <c r="G20" s="10" t="s">
        <v>53</v>
      </c>
      <c r="H20" s="10"/>
    </row>
    <row r="21" ht="23" customHeight="1" spans="1:8">
      <c r="A21" s="6" t="s">
        <v>58</v>
      </c>
      <c r="B21" s="6"/>
      <c r="C21" s="6"/>
      <c r="D21" s="7" t="s">
        <v>59</v>
      </c>
      <c r="E21" s="7"/>
      <c r="F21" s="7"/>
      <c r="G21" s="10" t="s">
        <v>53</v>
      </c>
      <c r="H21" s="10"/>
    </row>
    <row r="22" ht="23" customHeight="1" spans="1:8">
      <c r="A22" s="6" t="s">
        <v>60</v>
      </c>
      <c r="B22" s="6"/>
      <c r="C22" s="6"/>
      <c r="D22" s="7" t="s">
        <v>61</v>
      </c>
      <c r="E22" s="7"/>
      <c r="F22" s="7"/>
      <c r="G22" s="10" t="s">
        <v>53</v>
      </c>
      <c r="H22" s="10"/>
    </row>
    <row r="23" ht="23" customHeight="1" spans="1:8">
      <c r="A23" s="6" t="s">
        <v>62</v>
      </c>
      <c r="B23" s="6"/>
      <c r="C23" s="6"/>
      <c r="D23" s="7" t="s">
        <v>63</v>
      </c>
      <c r="E23" s="7"/>
      <c r="F23" s="7"/>
      <c r="G23" s="10" t="s">
        <v>64</v>
      </c>
      <c r="H23" s="10"/>
    </row>
    <row r="24" ht="23" customHeight="1" spans="1:8">
      <c r="A24" s="6" t="s">
        <v>65</v>
      </c>
      <c r="B24" s="6"/>
      <c r="C24" s="6"/>
      <c r="D24" s="7" t="s">
        <v>66</v>
      </c>
      <c r="E24" s="7"/>
      <c r="F24" s="7"/>
      <c r="G24" s="10" t="s">
        <v>67</v>
      </c>
      <c r="H24" s="10"/>
    </row>
    <row r="25" ht="23" customHeight="1" spans="1:8">
      <c r="A25" s="6" t="s">
        <v>68</v>
      </c>
      <c r="B25" s="6"/>
      <c r="C25" s="6"/>
      <c r="D25" s="6"/>
      <c r="E25" s="6"/>
      <c r="F25" s="6"/>
      <c r="G25" s="10" t="s">
        <v>69</v>
      </c>
      <c r="H25" s="10"/>
    </row>
  </sheetData>
  <mergeCells count="74">
    <mergeCell ref="A1:C1"/>
    <mergeCell ref="D1:F1"/>
    <mergeCell ref="G1:H1"/>
    <mergeCell ref="A2:C2"/>
    <mergeCell ref="D2:F2"/>
    <mergeCell ref="G2:H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18:C18"/>
    <mergeCell ref="D18:F18"/>
    <mergeCell ref="G18:H18"/>
    <mergeCell ref="A19:C19"/>
    <mergeCell ref="D19:F19"/>
    <mergeCell ref="G19:H19"/>
    <mergeCell ref="A20:C20"/>
    <mergeCell ref="D20:F20"/>
    <mergeCell ref="G20:H20"/>
    <mergeCell ref="A21:C21"/>
    <mergeCell ref="D21:F21"/>
    <mergeCell ref="G21:H21"/>
    <mergeCell ref="A22:C22"/>
    <mergeCell ref="D22:F22"/>
    <mergeCell ref="G22:H22"/>
    <mergeCell ref="A23:C23"/>
    <mergeCell ref="D23:F23"/>
    <mergeCell ref="G23:H23"/>
    <mergeCell ref="A24:C24"/>
    <mergeCell ref="D24:F24"/>
    <mergeCell ref="G24:H24"/>
    <mergeCell ref="A25:F25"/>
    <mergeCell ref="G25:H25"/>
  </mergeCells>
  <printOptions horizontalCentered="1"/>
  <pageMargins left="0.51968541666667" right="0.51968541666667" top="0.74803125" bottom="0" header="0" footer="0"/>
  <pageSetup paperSize="9" orientation="portrait"/>
  <headerFooter>
    <oddHeader>&amp;L 
&amp;"宋体,加粗"&amp;10 工程名称: &amp;"宋体,加粗"&amp;10 3#4#仓库土建装饰工程 &amp;C &amp;"宋体,加粗"&amp;20 工程项目清单汇总表
 &amp;"宋体,加粗"&amp;10 标段： &amp;"宋体,加粗"&amp;10  &amp;R 
&amp;"宋体,加粗"&amp;10 第&amp;P页, 共&amp;N页</oddHeader>
    <oddFooter>&amp;R &amp;"宋体,常规"&amp;9 注：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1"/>
  <sheetViews>
    <sheetView tabSelected="1" topLeftCell="A34" workbookViewId="0">
      <selection activeCell="N17" sqref="N17"/>
    </sheetView>
  </sheetViews>
  <sheetFormatPr defaultColWidth="9" defaultRowHeight="11.25"/>
  <cols>
    <col min="1" max="1" width="7.11111111111111" customWidth="1"/>
    <col min="2" max="2" width="4.68888888888889" customWidth="1"/>
    <col min="3" max="3" width="11.2666666666667" customWidth="1"/>
    <col min="4" max="4" width="19.9222222222222" customWidth="1"/>
    <col min="5" max="5" width="45" customWidth="1"/>
    <col min="6" max="6" width="9.26666666666667" customWidth="1"/>
    <col min="7" max="7" width="2.97777777777778" customWidth="1"/>
    <col min="8" max="8" width="5.83333333333333" customWidth="1"/>
    <col min="9" max="9" width="11.2555555555556" customWidth="1"/>
    <col min="10" max="10" width="2.54444444444444" customWidth="1"/>
    <col min="11" max="11" width="8.54444444444444" customWidth="1"/>
    <col min="12" max="12" width="15.7777777777778" customWidth="1"/>
  </cols>
  <sheetData>
    <row r="1" ht="23" customHeight="1" spans="1:12">
      <c r="A1" s="5" t="s">
        <v>0</v>
      </c>
      <c r="B1" s="5" t="s">
        <v>70</v>
      </c>
      <c r="C1" s="5"/>
      <c r="D1" s="5" t="s">
        <v>71</v>
      </c>
      <c r="E1" s="5" t="s">
        <v>72</v>
      </c>
      <c r="F1" s="5"/>
      <c r="G1" s="5"/>
      <c r="H1" s="5" t="s">
        <v>73</v>
      </c>
      <c r="I1" s="5" t="s">
        <v>74</v>
      </c>
      <c r="J1" s="5" t="s">
        <v>2</v>
      </c>
      <c r="K1" s="5"/>
      <c r="L1" s="5"/>
    </row>
    <row r="2" ht="12" customHeight="1" spans="1:12">
      <c r="A2" s="5"/>
      <c r="B2" s="5"/>
      <c r="C2" s="5"/>
      <c r="D2" s="5"/>
      <c r="E2" s="5"/>
      <c r="F2" s="5"/>
      <c r="G2" s="5"/>
      <c r="H2" s="5"/>
      <c r="I2" s="5"/>
      <c r="J2" s="5" t="s">
        <v>75</v>
      </c>
      <c r="K2" s="5"/>
      <c r="L2" s="5" t="s">
        <v>76</v>
      </c>
    </row>
    <row r="3" ht="12" customHeight="1" spans="1:1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ht="23" customHeight="1" spans="1:12">
      <c r="A4" s="6" t="s">
        <v>53</v>
      </c>
      <c r="B4" s="7" t="s">
        <v>53</v>
      </c>
      <c r="C4" s="7"/>
      <c r="D4" s="7" t="s">
        <v>7</v>
      </c>
      <c r="E4" s="7" t="s">
        <v>53</v>
      </c>
      <c r="F4" s="7"/>
      <c r="G4" s="7"/>
      <c r="H4" s="6" t="s">
        <v>53</v>
      </c>
      <c r="I4" s="16" t="s">
        <v>53</v>
      </c>
      <c r="J4" s="10" t="s">
        <v>53</v>
      </c>
      <c r="K4" s="10"/>
      <c r="L4" s="17">
        <v>706905.67</v>
      </c>
    </row>
    <row r="5" ht="139" customHeight="1" spans="1:12">
      <c r="A5" s="18">
        <v>1</v>
      </c>
      <c r="B5" s="19">
        <v>10102001004</v>
      </c>
      <c r="C5" s="7"/>
      <c r="D5" s="7" t="s">
        <v>77</v>
      </c>
      <c r="E5" s="7" t="s">
        <v>78</v>
      </c>
      <c r="F5" s="7"/>
      <c r="G5" s="7"/>
      <c r="H5" s="6" t="s">
        <v>79</v>
      </c>
      <c r="I5" s="17">
        <v>1683.462</v>
      </c>
      <c r="J5" s="17">
        <v>7.77</v>
      </c>
      <c r="K5" s="10"/>
      <c r="L5" s="17">
        <v>13080.5</v>
      </c>
    </row>
    <row r="6" ht="139" customHeight="1" spans="1:12">
      <c r="A6" s="18">
        <v>2</v>
      </c>
      <c r="B6" s="19">
        <v>10102001005</v>
      </c>
      <c r="C6" s="7"/>
      <c r="D6" s="7" t="s">
        <v>80</v>
      </c>
      <c r="E6" s="7" t="s">
        <v>78</v>
      </c>
      <c r="F6" s="7"/>
      <c r="G6" s="7"/>
      <c r="H6" s="6" t="s">
        <v>79</v>
      </c>
      <c r="I6" s="17">
        <v>1683.462</v>
      </c>
      <c r="J6" s="17">
        <v>8.97</v>
      </c>
      <c r="K6" s="10"/>
      <c r="L6" s="17">
        <v>15100.65</v>
      </c>
    </row>
    <row r="7" ht="139" customHeight="1" spans="1:12">
      <c r="A7" s="18">
        <v>3</v>
      </c>
      <c r="B7" s="19">
        <v>10102001006</v>
      </c>
      <c r="C7" s="7"/>
      <c r="D7" s="7" t="s">
        <v>81</v>
      </c>
      <c r="E7" s="7" t="s">
        <v>78</v>
      </c>
      <c r="F7" s="7"/>
      <c r="G7" s="7"/>
      <c r="H7" s="6" t="s">
        <v>79</v>
      </c>
      <c r="I7" s="17">
        <v>9778.476</v>
      </c>
      <c r="J7" s="17">
        <v>7.67</v>
      </c>
      <c r="K7" s="10"/>
      <c r="L7" s="17">
        <v>75000.91</v>
      </c>
    </row>
    <row r="8" ht="169" customHeight="1" spans="1:12">
      <c r="A8" s="18">
        <v>4</v>
      </c>
      <c r="B8" s="19">
        <v>10102007004</v>
      </c>
      <c r="C8" s="7"/>
      <c r="D8" s="7" t="s">
        <v>82</v>
      </c>
      <c r="E8" s="7" t="s">
        <v>83</v>
      </c>
      <c r="F8" s="7"/>
      <c r="G8" s="7"/>
      <c r="H8" s="6" t="s">
        <v>79</v>
      </c>
      <c r="I8" s="17">
        <v>22887.218</v>
      </c>
      <c r="J8" s="17">
        <v>14.69</v>
      </c>
      <c r="K8" s="10"/>
      <c r="L8" s="17">
        <v>336213.23</v>
      </c>
    </row>
    <row r="9" ht="23" customHeight="1" spans="1:12">
      <c r="A9" s="18">
        <v>5</v>
      </c>
      <c r="B9" s="19">
        <v>40103002004</v>
      </c>
      <c r="C9" s="7"/>
      <c r="D9" s="7" t="s">
        <v>84</v>
      </c>
      <c r="E9" s="7" t="s">
        <v>85</v>
      </c>
      <c r="F9" s="7"/>
      <c r="G9" s="7"/>
      <c r="H9" s="6" t="s">
        <v>79</v>
      </c>
      <c r="I9" s="17">
        <v>9741.82</v>
      </c>
      <c r="J9" s="17">
        <v>27.46</v>
      </c>
      <c r="K9" s="10"/>
      <c r="L9" s="17">
        <v>267510.38</v>
      </c>
    </row>
    <row r="10" ht="23" customHeight="1" spans="1:12">
      <c r="A10" s="6" t="s">
        <v>53</v>
      </c>
      <c r="B10" s="7" t="s">
        <v>53</v>
      </c>
      <c r="C10" s="7"/>
      <c r="D10" s="7" t="s">
        <v>10</v>
      </c>
      <c r="E10" s="7" t="s">
        <v>53</v>
      </c>
      <c r="F10" s="7"/>
      <c r="G10" s="7"/>
      <c r="H10" s="6" t="s">
        <v>53</v>
      </c>
      <c r="I10" s="16" t="s">
        <v>53</v>
      </c>
      <c r="J10" s="10" t="s">
        <v>53</v>
      </c>
      <c r="K10" s="10"/>
      <c r="L10" s="17">
        <v>604068.53</v>
      </c>
    </row>
    <row r="11" ht="198" customHeight="1" spans="1:12">
      <c r="A11" s="18">
        <v>6</v>
      </c>
      <c r="B11" s="19">
        <v>10402001004</v>
      </c>
      <c r="C11" s="7"/>
      <c r="D11" s="7" t="s">
        <v>86</v>
      </c>
      <c r="E11" s="7" t="s">
        <v>87</v>
      </c>
      <c r="F11" s="7"/>
      <c r="G11" s="7"/>
      <c r="H11" s="6" t="s">
        <v>79</v>
      </c>
      <c r="I11" s="17">
        <v>26.223</v>
      </c>
      <c r="J11" s="17">
        <v>495.51</v>
      </c>
      <c r="K11" s="10"/>
      <c r="L11" s="17">
        <v>12993.76</v>
      </c>
    </row>
    <row r="12" ht="198" customHeight="1" spans="1:12">
      <c r="A12" s="18">
        <v>7</v>
      </c>
      <c r="B12" s="19">
        <v>10402001005</v>
      </c>
      <c r="C12" s="7"/>
      <c r="D12" s="7" t="s">
        <v>86</v>
      </c>
      <c r="E12" s="7" t="s">
        <v>88</v>
      </c>
      <c r="F12" s="7"/>
      <c r="G12" s="7"/>
      <c r="H12" s="6" t="s">
        <v>79</v>
      </c>
      <c r="I12" s="17">
        <v>568.932</v>
      </c>
      <c r="J12" s="17">
        <v>435.71</v>
      </c>
      <c r="K12" s="10"/>
      <c r="L12" s="17">
        <v>247889.36</v>
      </c>
    </row>
    <row r="13" ht="198" customHeight="1" spans="1:12">
      <c r="A13" s="18">
        <v>8</v>
      </c>
      <c r="B13" s="19">
        <v>10401002002</v>
      </c>
      <c r="C13" s="7"/>
      <c r="D13" s="7" t="s">
        <v>89</v>
      </c>
      <c r="E13" s="7" t="s">
        <v>90</v>
      </c>
      <c r="F13" s="7"/>
      <c r="G13" s="7"/>
      <c r="H13" s="6" t="s">
        <v>79</v>
      </c>
      <c r="I13" s="17">
        <v>273.621</v>
      </c>
      <c r="J13" s="17">
        <v>556.9</v>
      </c>
      <c r="K13" s="10"/>
      <c r="L13" s="17">
        <v>152379.53</v>
      </c>
    </row>
    <row r="14" ht="169" customHeight="1" spans="1:12">
      <c r="A14" s="18">
        <v>9</v>
      </c>
      <c r="B14" s="19">
        <v>10404001002</v>
      </c>
      <c r="C14" s="7"/>
      <c r="D14" s="7" t="s">
        <v>91</v>
      </c>
      <c r="E14" s="7" t="s">
        <v>92</v>
      </c>
      <c r="F14" s="7"/>
      <c r="G14" s="7"/>
      <c r="H14" s="6" t="s">
        <v>93</v>
      </c>
      <c r="I14" s="17">
        <v>1081.85</v>
      </c>
      <c r="J14" s="17">
        <v>176.37</v>
      </c>
      <c r="K14" s="10"/>
      <c r="L14" s="17">
        <v>190805.88</v>
      </c>
    </row>
    <row r="15" ht="23" customHeight="1" spans="1:12">
      <c r="A15" s="6" t="s">
        <v>53</v>
      </c>
      <c r="B15" s="7" t="s">
        <v>53</v>
      </c>
      <c r="C15" s="7"/>
      <c r="D15" s="7" t="s">
        <v>13</v>
      </c>
      <c r="E15" s="7" t="s">
        <v>53</v>
      </c>
      <c r="F15" s="7"/>
      <c r="G15" s="7"/>
      <c r="H15" s="6" t="s">
        <v>53</v>
      </c>
      <c r="I15" s="16" t="s">
        <v>53</v>
      </c>
      <c r="J15" s="10" t="s">
        <v>53</v>
      </c>
      <c r="K15" s="10"/>
      <c r="L15" s="17">
        <v>5297161.66</v>
      </c>
    </row>
    <row r="16" ht="23" customHeight="1" spans="1:12">
      <c r="A16" s="6" t="s">
        <v>53</v>
      </c>
      <c r="B16" s="7" t="s">
        <v>53</v>
      </c>
      <c r="C16" s="7"/>
      <c r="D16" s="7" t="s">
        <v>94</v>
      </c>
      <c r="E16" s="7" t="s">
        <v>53</v>
      </c>
      <c r="F16" s="7"/>
      <c r="G16" s="7"/>
      <c r="H16" s="6" t="s">
        <v>53</v>
      </c>
      <c r="I16" s="16" t="s">
        <v>53</v>
      </c>
      <c r="J16" s="10" t="s">
        <v>53</v>
      </c>
      <c r="K16" s="10"/>
      <c r="L16" s="17">
        <v>940895.7</v>
      </c>
    </row>
    <row r="17" s="15" customFormat="1" ht="125" customHeight="1" spans="1:14">
      <c r="A17" s="20">
        <v>10</v>
      </c>
      <c r="B17" s="21">
        <v>10501001020</v>
      </c>
      <c r="C17" s="22"/>
      <c r="D17" s="22" t="s">
        <v>95</v>
      </c>
      <c r="E17" s="22" t="s">
        <v>96</v>
      </c>
      <c r="F17" s="22"/>
      <c r="G17" s="22"/>
      <c r="H17" s="23" t="s">
        <v>79</v>
      </c>
      <c r="I17" s="24">
        <v>226.464</v>
      </c>
      <c r="J17" s="24">
        <v>399.76</v>
      </c>
      <c r="K17" s="25"/>
      <c r="L17" s="24">
        <v>90531.25</v>
      </c>
      <c r="N17" s="15">
        <f>SUM(I17:I36)</f>
        <v>10821.021</v>
      </c>
    </row>
    <row r="18" s="15" customFormat="1" ht="154" customHeight="1" spans="1:14">
      <c r="A18" s="20">
        <v>11</v>
      </c>
      <c r="B18" s="21">
        <v>10502001003</v>
      </c>
      <c r="C18" s="22"/>
      <c r="D18" s="22" t="s">
        <v>97</v>
      </c>
      <c r="E18" s="22" t="s">
        <v>98</v>
      </c>
      <c r="F18" s="22"/>
      <c r="G18" s="22"/>
      <c r="H18" s="23" t="s">
        <v>79</v>
      </c>
      <c r="I18" s="24">
        <v>285.52</v>
      </c>
      <c r="J18" s="24">
        <v>463.02</v>
      </c>
      <c r="K18" s="25"/>
      <c r="L18" s="24">
        <v>132201.47</v>
      </c>
    </row>
    <row r="19" s="15" customFormat="1" ht="154" customHeight="1" spans="1:14">
      <c r="A19" s="20">
        <v>12</v>
      </c>
      <c r="B19" s="21">
        <v>10502006007</v>
      </c>
      <c r="C19" s="22"/>
      <c r="D19" s="22" t="s">
        <v>99</v>
      </c>
      <c r="E19" s="22" t="s">
        <v>100</v>
      </c>
      <c r="F19" s="22"/>
      <c r="G19" s="22"/>
      <c r="H19" s="23" t="s">
        <v>79</v>
      </c>
      <c r="I19" s="24">
        <v>179.87</v>
      </c>
      <c r="J19" s="24">
        <v>575.67</v>
      </c>
      <c r="K19" s="25"/>
      <c r="L19" s="24">
        <v>103545.76</v>
      </c>
    </row>
    <row r="20" s="15" customFormat="1" ht="154" customHeight="1" spans="1:14">
      <c r="A20" s="20">
        <v>13</v>
      </c>
      <c r="B20" s="21">
        <v>10502010003</v>
      </c>
      <c r="C20" s="22"/>
      <c r="D20" s="22" t="s">
        <v>101</v>
      </c>
      <c r="E20" s="22" t="s">
        <v>102</v>
      </c>
      <c r="F20" s="22"/>
      <c r="G20" s="22"/>
      <c r="H20" s="23" t="s">
        <v>79</v>
      </c>
      <c r="I20" s="24">
        <v>566.72</v>
      </c>
      <c r="J20" s="24">
        <v>476.11</v>
      </c>
      <c r="K20" s="25"/>
      <c r="L20" s="24">
        <v>269821.06</v>
      </c>
    </row>
    <row r="21" s="15" customFormat="1" ht="154" customHeight="1" spans="1:14">
      <c r="A21" s="20">
        <v>14</v>
      </c>
      <c r="B21" s="21">
        <v>10502013004</v>
      </c>
      <c r="C21" s="22"/>
      <c r="D21" s="22" t="s">
        <v>103</v>
      </c>
      <c r="E21" s="22" t="s">
        <v>104</v>
      </c>
      <c r="F21" s="22"/>
      <c r="G21" s="22"/>
      <c r="H21" s="23" t="s">
        <v>79</v>
      </c>
      <c r="I21" s="24">
        <v>163.944</v>
      </c>
      <c r="J21" s="24">
        <v>463.28</v>
      </c>
      <c r="K21" s="25"/>
      <c r="L21" s="24">
        <v>75951.98</v>
      </c>
    </row>
    <row r="22" s="15" customFormat="1" ht="154" customHeight="1" spans="1:14">
      <c r="A22" s="20">
        <v>15</v>
      </c>
      <c r="B22" s="21">
        <v>10502005002</v>
      </c>
      <c r="C22" s="22"/>
      <c r="D22" s="22" t="s">
        <v>105</v>
      </c>
      <c r="E22" s="22" t="s">
        <v>106</v>
      </c>
      <c r="F22" s="22"/>
      <c r="G22" s="22"/>
      <c r="H22" s="23" t="s">
        <v>79</v>
      </c>
      <c r="I22" s="24">
        <v>602.263</v>
      </c>
      <c r="J22" s="24">
        <v>446.39</v>
      </c>
      <c r="K22" s="25"/>
      <c r="L22" s="24">
        <v>268844.18</v>
      </c>
    </row>
    <row r="23" s="15" customFormat="1" ht="23" customHeight="1" spans="1:14">
      <c r="A23" s="23" t="s">
        <v>53</v>
      </c>
      <c r="B23" s="22" t="s">
        <v>53</v>
      </c>
      <c r="C23" s="22"/>
      <c r="D23" s="22" t="s">
        <v>107</v>
      </c>
      <c r="E23" s="22" t="s">
        <v>53</v>
      </c>
      <c r="F23" s="22"/>
      <c r="G23" s="22"/>
      <c r="H23" s="23" t="s">
        <v>53</v>
      </c>
      <c r="I23" s="26" t="s">
        <v>53</v>
      </c>
      <c r="J23" s="25" t="s">
        <v>53</v>
      </c>
      <c r="K23" s="25"/>
      <c r="L23" s="24">
        <v>4356265.96</v>
      </c>
    </row>
    <row r="24" s="15" customFormat="1" ht="183" customHeight="1" spans="1:14">
      <c r="A24" s="20">
        <v>16</v>
      </c>
      <c r="B24" s="21">
        <v>10502006008</v>
      </c>
      <c r="C24" s="22"/>
      <c r="D24" s="22" t="s">
        <v>99</v>
      </c>
      <c r="E24" s="22" t="s">
        <v>108</v>
      </c>
      <c r="F24" s="22"/>
      <c r="G24" s="22"/>
      <c r="H24" s="23" t="s">
        <v>79</v>
      </c>
      <c r="I24" s="24">
        <v>1278.818</v>
      </c>
      <c r="J24" s="24">
        <v>577.96</v>
      </c>
      <c r="K24" s="25"/>
      <c r="L24" s="24">
        <v>739105.65</v>
      </c>
    </row>
    <row r="25" s="15" customFormat="1" ht="183" customHeight="1" spans="1:14">
      <c r="A25" s="20">
        <v>17</v>
      </c>
      <c r="B25" s="21">
        <v>10502006009</v>
      </c>
      <c r="C25" s="22"/>
      <c r="D25" s="22" t="s">
        <v>109</v>
      </c>
      <c r="E25" s="22" t="s">
        <v>110</v>
      </c>
      <c r="F25" s="22"/>
      <c r="G25" s="22"/>
      <c r="H25" s="23" t="s">
        <v>79</v>
      </c>
      <c r="I25" s="24">
        <v>396.035</v>
      </c>
      <c r="J25" s="24">
        <v>568.13</v>
      </c>
      <c r="K25" s="25"/>
      <c r="L25" s="24">
        <v>224999.36</v>
      </c>
    </row>
    <row r="26" s="15" customFormat="1" ht="183" customHeight="1" spans="1:14">
      <c r="A26" s="20">
        <v>18</v>
      </c>
      <c r="B26" s="21">
        <v>10502010004</v>
      </c>
      <c r="C26" s="22"/>
      <c r="D26" s="22" t="s">
        <v>111</v>
      </c>
      <c r="E26" s="22" t="s">
        <v>108</v>
      </c>
      <c r="F26" s="22"/>
      <c r="G26" s="22"/>
      <c r="H26" s="23" t="s">
        <v>79</v>
      </c>
      <c r="I26" s="24">
        <v>16.729</v>
      </c>
      <c r="J26" s="24">
        <v>501.59</v>
      </c>
      <c r="K26" s="25"/>
      <c r="L26" s="24">
        <v>8391.1</v>
      </c>
    </row>
    <row r="27" s="15" customFormat="1" ht="183" customHeight="1" spans="1:14">
      <c r="A27" s="20">
        <v>19</v>
      </c>
      <c r="B27" s="21">
        <v>10502011003</v>
      </c>
      <c r="C27" s="22"/>
      <c r="D27" s="22" t="s">
        <v>112</v>
      </c>
      <c r="E27" s="22" t="s">
        <v>110</v>
      </c>
      <c r="F27" s="22"/>
      <c r="G27" s="22"/>
      <c r="H27" s="23" t="s">
        <v>79</v>
      </c>
      <c r="I27" s="24">
        <v>459.099</v>
      </c>
      <c r="J27" s="24">
        <v>464.76</v>
      </c>
      <c r="K27" s="25"/>
      <c r="L27" s="24">
        <v>213370.85</v>
      </c>
    </row>
    <row r="28" s="15" customFormat="1" ht="183" customHeight="1" spans="1:14">
      <c r="A28" s="20">
        <v>20</v>
      </c>
      <c r="B28" s="21">
        <v>10502011004</v>
      </c>
      <c r="C28" s="22"/>
      <c r="D28" s="22" t="s">
        <v>113</v>
      </c>
      <c r="E28" s="22" t="s">
        <v>108</v>
      </c>
      <c r="F28" s="22"/>
      <c r="G28" s="22"/>
      <c r="H28" s="23" t="s">
        <v>79</v>
      </c>
      <c r="I28" s="24">
        <v>4114.367</v>
      </c>
      <c r="J28" s="24">
        <v>474.6</v>
      </c>
      <c r="K28" s="25"/>
      <c r="L28" s="24">
        <v>1952678.58</v>
      </c>
    </row>
    <row r="29" s="15" customFormat="1" ht="183" customHeight="1" spans="1:14">
      <c r="A29" s="20">
        <v>21</v>
      </c>
      <c r="B29" s="21">
        <v>10502013005</v>
      </c>
      <c r="C29" s="22"/>
      <c r="D29" s="22" t="s">
        <v>103</v>
      </c>
      <c r="E29" s="22" t="s">
        <v>110</v>
      </c>
      <c r="F29" s="22"/>
      <c r="G29" s="22"/>
      <c r="H29" s="23" t="s">
        <v>79</v>
      </c>
      <c r="I29" s="24">
        <v>124.42</v>
      </c>
      <c r="J29" s="24">
        <v>464.53</v>
      </c>
      <c r="K29" s="25"/>
      <c r="L29" s="24">
        <v>57796.82</v>
      </c>
    </row>
    <row r="30" s="15" customFormat="1" ht="183" customHeight="1" spans="1:14">
      <c r="A30" s="20">
        <v>22</v>
      </c>
      <c r="B30" s="21">
        <v>10502013006</v>
      </c>
      <c r="C30" s="22"/>
      <c r="D30" s="22" t="s">
        <v>114</v>
      </c>
      <c r="E30" s="22" t="s">
        <v>108</v>
      </c>
      <c r="F30" s="22"/>
      <c r="G30" s="22"/>
      <c r="H30" s="23" t="s">
        <v>79</v>
      </c>
      <c r="I30" s="24">
        <v>2127.496</v>
      </c>
      <c r="J30" s="24">
        <v>474.36</v>
      </c>
      <c r="K30" s="25"/>
      <c r="L30" s="24">
        <v>1009199</v>
      </c>
    </row>
    <row r="31" s="15" customFormat="1" ht="183" customHeight="1" spans="1:14">
      <c r="A31" s="20">
        <v>23</v>
      </c>
      <c r="B31" s="21">
        <v>10502018004</v>
      </c>
      <c r="C31" s="22"/>
      <c r="D31" s="22" t="s">
        <v>115</v>
      </c>
      <c r="E31" s="22" t="s">
        <v>108</v>
      </c>
      <c r="F31" s="22"/>
      <c r="G31" s="22"/>
      <c r="H31" s="23" t="s">
        <v>79</v>
      </c>
      <c r="I31" s="24">
        <v>12.078</v>
      </c>
      <c r="J31" s="24">
        <v>484.76</v>
      </c>
      <c r="K31" s="25"/>
      <c r="L31" s="24">
        <v>5854.93</v>
      </c>
    </row>
    <row r="32" s="15" customFormat="1" ht="154" customHeight="1" spans="1:14">
      <c r="A32" s="20">
        <v>24</v>
      </c>
      <c r="B32" s="21">
        <v>10502018005</v>
      </c>
      <c r="C32" s="22"/>
      <c r="D32" s="22" t="s">
        <v>116</v>
      </c>
      <c r="E32" s="22" t="s">
        <v>117</v>
      </c>
      <c r="F32" s="22"/>
      <c r="G32" s="22"/>
      <c r="H32" s="23" t="s">
        <v>79</v>
      </c>
      <c r="I32" s="24">
        <v>0.32</v>
      </c>
      <c r="J32" s="24">
        <v>591.02</v>
      </c>
      <c r="K32" s="25"/>
      <c r="L32" s="24">
        <v>189.13</v>
      </c>
    </row>
    <row r="33" s="15" customFormat="1" ht="183" customHeight="1" spans="1:12">
      <c r="A33" s="20">
        <v>25</v>
      </c>
      <c r="B33" s="21">
        <v>10502020003</v>
      </c>
      <c r="C33" s="22"/>
      <c r="D33" s="22" t="s">
        <v>118</v>
      </c>
      <c r="E33" s="22" t="s">
        <v>110</v>
      </c>
      <c r="F33" s="22"/>
      <c r="G33" s="22"/>
      <c r="H33" s="23" t="s">
        <v>79</v>
      </c>
      <c r="I33" s="24">
        <v>116.396</v>
      </c>
      <c r="J33" s="24">
        <v>522.18</v>
      </c>
      <c r="K33" s="25"/>
      <c r="L33" s="24">
        <v>60779.66</v>
      </c>
    </row>
    <row r="34" s="15" customFormat="1" ht="183" customHeight="1" spans="1:12">
      <c r="A34" s="20">
        <v>26</v>
      </c>
      <c r="B34" s="21">
        <v>10502020004</v>
      </c>
      <c r="C34" s="22"/>
      <c r="D34" s="22" t="s">
        <v>119</v>
      </c>
      <c r="E34" s="22" t="s">
        <v>108</v>
      </c>
      <c r="F34" s="22"/>
      <c r="G34" s="22"/>
      <c r="H34" s="23" t="s">
        <v>79</v>
      </c>
      <c r="I34" s="24">
        <v>37.63</v>
      </c>
      <c r="J34" s="24">
        <v>532.02</v>
      </c>
      <c r="K34" s="25"/>
      <c r="L34" s="24">
        <v>20019.91</v>
      </c>
    </row>
    <row r="35" s="15" customFormat="1" ht="154" customHeight="1" spans="1:12">
      <c r="A35" s="20">
        <v>27</v>
      </c>
      <c r="B35" s="21">
        <v>10502021002</v>
      </c>
      <c r="C35" s="22"/>
      <c r="D35" s="22" t="s">
        <v>120</v>
      </c>
      <c r="E35" s="22" t="s">
        <v>117</v>
      </c>
      <c r="F35" s="22"/>
      <c r="G35" s="22"/>
      <c r="H35" s="23" t="s">
        <v>79</v>
      </c>
      <c r="I35" s="24">
        <v>58.829</v>
      </c>
      <c r="J35" s="24">
        <v>614.05</v>
      </c>
      <c r="K35" s="25"/>
      <c r="L35" s="24">
        <v>36123.95</v>
      </c>
    </row>
    <row r="36" s="15" customFormat="1" ht="154" customHeight="1" spans="1:12">
      <c r="A36" s="20">
        <v>28</v>
      </c>
      <c r="B36" s="21">
        <v>10502022002</v>
      </c>
      <c r="C36" s="22"/>
      <c r="D36" s="22" t="s">
        <v>121</v>
      </c>
      <c r="E36" s="22" t="s">
        <v>117</v>
      </c>
      <c r="F36" s="22"/>
      <c r="G36" s="22"/>
      <c r="H36" s="23" t="s">
        <v>79</v>
      </c>
      <c r="I36" s="24">
        <v>54.023</v>
      </c>
      <c r="J36" s="24">
        <v>513.8</v>
      </c>
      <c r="K36" s="25"/>
      <c r="L36" s="24">
        <v>27757.02</v>
      </c>
    </row>
    <row r="37" ht="23" customHeight="1" spans="1:12">
      <c r="A37" s="6" t="s">
        <v>53</v>
      </c>
      <c r="B37" s="7" t="s">
        <v>53</v>
      </c>
      <c r="C37" s="7"/>
      <c r="D37" s="7" t="s">
        <v>16</v>
      </c>
      <c r="E37" s="7" t="s">
        <v>53</v>
      </c>
      <c r="F37" s="7"/>
      <c r="G37" s="7"/>
      <c r="H37" s="6" t="s">
        <v>53</v>
      </c>
      <c r="I37" s="16" t="s">
        <v>53</v>
      </c>
      <c r="J37" s="10" t="s">
        <v>53</v>
      </c>
      <c r="K37" s="10"/>
      <c r="L37" s="17">
        <v>7260940.24</v>
      </c>
    </row>
    <row r="38" ht="23" customHeight="1" spans="1:12">
      <c r="A38" s="6" t="s">
        <v>53</v>
      </c>
      <c r="B38" s="7" t="s">
        <v>53</v>
      </c>
      <c r="C38" s="7"/>
      <c r="D38" s="7" t="s">
        <v>94</v>
      </c>
      <c r="E38" s="7" t="s">
        <v>53</v>
      </c>
      <c r="F38" s="7"/>
      <c r="G38" s="7"/>
      <c r="H38" s="6" t="s">
        <v>53</v>
      </c>
      <c r="I38" s="16" t="s">
        <v>53</v>
      </c>
      <c r="J38" s="10" t="s">
        <v>53</v>
      </c>
      <c r="K38" s="10"/>
      <c r="L38" s="17">
        <v>492702.24</v>
      </c>
    </row>
    <row r="39" ht="80" customHeight="1" spans="1:12">
      <c r="A39" s="18">
        <v>29</v>
      </c>
      <c r="B39" s="19">
        <v>10505002003</v>
      </c>
      <c r="C39" s="7"/>
      <c r="D39" s="7" t="s">
        <v>122</v>
      </c>
      <c r="E39" s="7" t="s">
        <v>123</v>
      </c>
      <c r="F39" s="7"/>
      <c r="G39" s="7"/>
      <c r="H39" s="6" t="s">
        <v>93</v>
      </c>
      <c r="I39" s="17">
        <v>730.28</v>
      </c>
      <c r="J39" s="17">
        <v>48.08</v>
      </c>
      <c r="K39" s="10"/>
      <c r="L39" s="17">
        <v>35111.86</v>
      </c>
    </row>
    <row r="40" ht="80" customHeight="1" spans="1:12">
      <c r="A40" s="18">
        <v>30</v>
      </c>
      <c r="B40" s="19">
        <v>10505003002</v>
      </c>
      <c r="C40" s="7"/>
      <c r="D40" s="7" t="s">
        <v>124</v>
      </c>
      <c r="E40" s="7" t="s">
        <v>125</v>
      </c>
      <c r="F40" s="7"/>
      <c r="G40" s="7"/>
      <c r="H40" s="6" t="s">
        <v>93</v>
      </c>
      <c r="I40" s="17">
        <v>4422.6</v>
      </c>
      <c r="J40" s="17">
        <v>56.01</v>
      </c>
      <c r="K40" s="10"/>
      <c r="L40" s="17">
        <v>247709.83</v>
      </c>
    </row>
    <row r="41" ht="110" customHeight="1" spans="1:12">
      <c r="A41" s="18">
        <v>31</v>
      </c>
      <c r="B41" s="19">
        <v>10505004009</v>
      </c>
      <c r="C41" s="7"/>
      <c r="D41" s="7" t="s">
        <v>126</v>
      </c>
      <c r="E41" s="7" t="s">
        <v>127</v>
      </c>
      <c r="F41" s="7"/>
      <c r="G41" s="7"/>
      <c r="H41" s="6" t="s">
        <v>93</v>
      </c>
      <c r="I41" s="17">
        <v>721.174</v>
      </c>
      <c r="J41" s="17">
        <v>59.54</v>
      </c>
      <c r="K41" s="10"/>
      <c r="L41" s="17">
        <v>42938.7</v>
      </c>
    </row>
    <row r="42" ht="36" customHeight="1" spans="1:12">
      <c r="A42" s="18">
        <v>32</v>
      </c>
      <c r="B42" s="19">
        <v>10505015001</v>
      </c>
      <c r="C42" s="7"/>
      <c r="D42" s="7" t="s">
        <v>128</v>
      </c>
      <c r="E42" s="7" t="s">
        <v>129</v>
      </c>
      <c r="F42" s="7"/>
      <c r="G42" s="7"/>
      <c r="H42" s="6" t="s">
        <v>93</v>
      </c>
      <c r="I42" s="17">
        <v>3851.023</v>
      </c>
      <c r="J42" s="17">
        <v>43.35</v>
      </c>
      <c r="K42" s="10"/>
      <c r="L42" s="17">
        <v>166941.85</v>
      </c>
    </row>
    <row r="43" ht="23" customHeight="1" spans="1:12">
      <c r="A43" s="6" t="s">
        <v>53</v>
      </c>
      <c r="B43" s="7" t="s">
        <v>53</v>
      </c>
      <c r="C43" s="7"/>
      <c r="D43" s="7" t="s">
        <v>107</v>
      </c>
      <c r="E43" s="7" t="s">
        <v>53</v>
      </c>
      <c r="F43" s="7"/>
      <c r="G43" s="7"/>
      <c r="H43" s="6" t="s">
        <v>53</v>
      </c>
      <c r="I43" s="16" t="s">
        <v>53</v>
      </c>
      <c r="J43" s="10" t="s">
        <v>53</v>
      </c>
      <c r="K43" s="10"/>
      <c r="L43" s="17">
        <v>6768238</v>
      </c>
    </row>
    <row r="44" ht="110" customHeight="1" spans="1:12">
      <c r="A44" s="18">
        <v>33</v>
      </c>
      <c r="B44" s="19">
        <v>10505004010</v>
      </c>
      <c r="C44" s="7"/>
      <c r="D44" s="7" t="s">
        <v>126</v>
      </c>
      <c r="E44" s="7" t="s">
        <v>130</v>
      </c>
      <c r="F44" s="7"/>
      <c r="G44" s="7"/>
      <c r="H44" s="6" t="s">
        <v>93</v>
      </c>
      <c r="I44" s="17">
        <v>4562.279</v>
      </c>
      <c r="J44" s="17">
        <v>106.86</v>
      </c>
      <c r="K44" s="10"/>
      <c r="L44" s="17">
        <v>487525.13</v>
      </c>
    </row>
    <row r="45" ht="110" customHeight="1" spans="1:12">
      <c r="A45" s="18">
        <v>34</v>
      </c>
      <c r="B45" s="19">
        <v>10505004011</v>
      </c>
      <c r="C45" s="7"/>
      <c r="D45" s="7" t="s">
        <v>126</v>
      </c>
      <c r="E45" s="7" t="s">
        <v>131</v>
      </c>
      <c r="F45" s="7"/>
      <c r="G45" s="7"/>
      <c r="H45" s="6" t="s">
        <v>93</v>
      </c>
      <c r="I45" s="17">
        <v>2479.911</v>
      </c>
      <c r="J45" s="17">
        <v>106.86</v>
      </c>
      <c r="K45" s="10"/>
      <c r="L45" s="17">
        <v>265003.29</v>
      </c>
    </row>
    <row r="46" ht="110" customHeight="1" spans="1:12">
      <c r="A46" s="18">
        <v>35</v>
      </c>
      <c r="B46" s="19">
        <v>10505005003</v>
      </c>
      <c r="C46" s="7"/>
      <c r="D46" s="7" t="s">
        <v>132</v>
      </c>
      <c r="E46" s="7" t="s">
        <v>133</v>
      </c>
      <c r="F46" s="7"/>
      <c r="G46" s="7"/>
      <c r="H46" s="6" t="s">
        <v>93</v>
      </c>
      <c r="I46" s="17">
        <v>170.245</v>
      </c>
      <c r="J46" s="17">
        <v>48.17</v>
      </c>
      <c r="K46" s="10"/>
      <c r="L46" s="17">
        <v>8200.7</v>
      </c>
    </row>
    <row r="47" ht="110" customHeight="1" spans="1:12">
      <c r="A47" s="18">
        <v>36</v>
      </c>
      <c r="B47" s="19">
        <v>10505006007</v>
      </c>
      <c r="C47" s="7"/>
      <c r="D47" s="7" t="s">
        <v>134</v>
      </c>
      <c r="E47" s="7" t="s">
        <v>135</v>
      </c>
      <c r="F47" s="7"/>
      <c r="G47" s="7"/>
      <c r="H47" s="6" t="s">
        <v>93</v>
      </c>
      <c r="I47" s="17">
        <v>410.077</v>
      </c>
      <c r="J47" s="17">
        <v>79.7</v>
      </c>
      <c r="K47" s="10"/>
      <c r="L47" s="17">
        <v>32683.14</v>
      </c>
    </row>
    <row r="48" ht="110" customHeight="1" spans="1:12">
      <c r="A48" s="18">
        <v>37</v>
      </c>
      <c r="B48" s="19">
        <v>10505006008</v>
      </c>
      <c r="C48" s="7"/>
      <c r="D48" s="7" t="s">
        <v>134</v>
      </c>
      <c r="E48" s="7" t="s">
        <v>136</v>
      </c>
      <c r="F48" s="7"/>
      <c r="G48" s="7"/>
      <c r="H48" s="6" t="s">
        <v>93</v>
      </c>
      <c r="I48" s="17">
        <v>1192.709</v>
      </c>
      <c r="J48" s="17">
        <v>86.03</v>
      </c>
      <c r="K48" s="10"/>
      <c r="L48" s="17">
        <v>102608.76</v>
      </c>
    </row>
    <row r="49" ht="110" customHeight="1" spans="1:12">
      <c r="A49" s="18">
        <v>38</v>
      </c>
      <c r="B49" s="19">
        <v>10505006009</v>
      </c>
      <c r="C49" s="7"/>
      <c r="D49" s="7" t="s">
        <v>134</v>
      </c>
      <c r="E49" s="7" t="s">
        <v>137</v>
      </c>
      <c r="F49" s="7"/>
      <c r="G49" s="7"/>
      <c r="H49" s="6" t="s">
        <v>93</v>
      </c>
      <c r="I49" s="17">
        <v>214.546</v>
      </c>
      <c r="J49" s="17">
        <v>160.45</v>
      </c>
      <c r="K49" s="10"/>
      <c r="L49" s="17">
        <v>34423.91</v>
      </c>
    </row>
    <row r="50" ht="110" customHeight="1" spans="1:12">
      <c r="A50" s="18">
        <v>39</v>
      </c>
      <c r="B50" s="19">
        <v>10505006010</v>
      </c>
      <c r="C50" s="7"/>
      <c r="D50" s="7" t="s">
        <v>134</v>
      </c>
      <c r="E50" s="7" t="s">
        <v>138</v>
      </c>
      <c r="F50" s="7"/>
      <c r="G50" s="7"/>
      <c r="H50" s="6" t="s">
        <v>93</v>
      </c>
      <c r="I50" s="17">
        <v>20091.495</v>
      </c>
      <c r="J50" s="17">
        <v>172.59</v>
      </c>
      <c r="K50" s="10"/>
      <c r="L50" s="17">
        <v>3467591.12</v>
      </c>
    </row>
    <row r="51" ht="95" customHeight="1" spans="1:12">
      <c r="A51" s="18">
        <v>40</v>
      </c>
      <c r="B51" s="19">
        <v>10505007011</v>
      </c>
      <c r="C51" s="7"/>
      <c r="D51" s="7" t="s">
        <v>139</v>
      </c>
      <c r="E51" s="7" t="s">
        <v>140</v>
      </c>
      <c r="F51" s="7"/>
      <c r="G51" s="7"/>
      <c r="H51" s="6" t="s">
        <v>93</v>
      </c>
      <c r="I51" s="17">
        <v>908.365</v>
      </c>
      <c r="J51" s="17">
        <v>77.15</v>
      </c>
      <c r="K51" s="10"/>
      <c r="L51" s="17">
        <v>70080.36</v>
      </c>
    </row>
    <row r="52" ht="95" customHeight="1" spans="1:12">
      <c r="A52" s="18">
        <v>41</v>
      </c>
      <c r="B52" s="19">
        <v>10505007012</v>
      </c>
      <c r="C52" s="7"/>
      <c r="D52" s="7" t="s">
        <v>139</v>
      </c>
      <c r="E52" s="7" t="s">
        <v>141</v>
      </c>
      <c r="F52" s="7"/>
      <c r="G52" s="7"/>
      <c r="H52" s="6" t="s">
        <v>93</v>
      </c>
      <c r="I52" s="17">
        <v>13782.555</v>
      </c>
      <c r="J52" s="17">
        <v>153.46</v>
      </c>
      <c r="K52" s="10"/>
      <c r="L52" s="17">
        <v>2115070.89</v>
      </c>
    </row>
    <row r="53" ht="95" customHeight="1" spans="1:12">
      <c r="A53" s="18">
        <v>42</v>
      </c>
      <c r="B53" s="19">
        <v>10505007013</v>
      </c>
      <c r="C53" s="7"/>
      <c r="D53" s="7" t="s">
        <v>142</v>
      </c>
      <c r="E53" s="7" t="s">
        <v>143</v>
      </c>
      <c r="F53" s="7"/>
      <c r="G53" s="7"/>
      <c r="H53" s="6" t="s">
        <v>93</v>
      </c>
      <c r="I53" s="17">
        <v>55.824</v>
      </c>
      <c r="J53" s="17">
        <v>59.99</v>
      </c>
      <c r="K53" s="10"/>
      <c r="L53" s="17">
        <v>3348.88</v>
      </c>
    </row>
    <row r="54" ht="80" customHeight="1" spans="1:12">
      <c r="A54" s="18">
        <v>43</v>
      </c>
      <c r="B54" s="19">
        <v>10505008003</v>
      </c>
      <c r="C54" s="7"/>
      <c r="D54" s="7" t="s">
        <v>144</v>
      </c>
      <c r="E54" s="7" t="s">
        <v>145</v>
      </c>
      <c r="F54" s="7"/>
      <c r="G54" s="7"/>
      <c r="H54" s="6" t="s">
        <v>93</v>
      </c>
      <c r="I54" s="17">
        <v>5.44</v>
      </c>
      <c r="J54" s="17">
        <v>59.09</v>
      </c>
      <c r="K54" s="10"/>
      <c r="L54" s="17">
        <v>321.45</v>
      </c>
    </row>
    <row r="55" ht="80" customHeight="1" spans="1:12">
      <c r="A55" s="18">
        <v>44</v>
      </c>
      <c r="B55" s="19">
        <v>10505010002</v>
      </c>
      <c r="C55" s="7"/>
      <c r="D55" s="7" t="s">
        <v>146</v>
      </c>
      <c r="E55" s="7" t="s">
        <v>147</v>
      </c>
      <c r="F55" s="7"/>
      <c r="G55" s="7"/>
      <c r="H55" s="6" t="s">
        <v>93</v>
      </c>
      <c r="I55" s="17">
        <v>617.917</v>
      </c>
      <c r="J55" s="17">
        <v>169.68</v>
      </c>
      <c r="K55" s="10"/>
      <c r="L55" s="17">
        <v>104848.16</v>
      </c>
    </row>
    <row r="56" ht="110" customHeight="1" spans="1:12">
      <c r="A56" s="18">
        <v>45</v>
      </c>
      <c r="B56" s="19">
        <v>10505011005</v>
      </c>
      <c r="C56" s="7"/>
      <c r="D56" s="7" t="s">
        <v>148</v>
      </c>
      <c r="E56" s="7" t="s">
        <v>149</v>
      </c>
      <c r="F56" s="7"/>
      <c r="G56" s="7"/>
      <c r="H56" s="6" t="s">
        <v>93</v>
      </c>
      <c r="I56" s="17">
        <v>653.858</v>
      </c>
      <c r="J56" s="17">
        <v>75.05</v>
      </c>
      <c r="K56" s="10"/>
      <c r="L56" s="17">
        <v>49072.04</v>
      </c>
    </row>
    <row r="57" ht="80" customHeight="1" spans="1:12">
      <c r="A57" s="18">
        <v>46</v>
      </c>
      <c r="B57" s="19">
        <v>10505012003</v>
      </c>
      <c r="C57" s="7"/>
      <c r="D57" s="7" t="s">
        <v>150</v>
      </c>
      <c r="E57" s="7" t="s">
        <v>151</v>
      </c>
      <c r="F57" s="7"/>
      <c r="G57" s="7"/>
      <c r="H57" s="6" t="s">
        <v>93</v>
      </c>
      <c r="I57" s="17">
        <v>552.741</v>
      </c>
      <c r="J57" s="17">
        <v>49.68</v>
      </c>
      <c r="K57" s="10"/>
      <c r="L57" s="17">
        <v>27460.17</v>
      </c>
    </row>
    <row r="58" ht="23" customHeight="1" spans="1:12">
      <c r="A58" s="6" t="s">
        <v>53</v>
      </c>
      <c r="B58" s="7" t="s">
        <v>53</v>
      </c>
      <c r="C58" s="7"/>
      <c r="D58" s="7" t="s">
        <v>19</v>
      </c>
      <c r="E58" s="7" t="s">
        <v>53</v>
      </c>
      <c r="F58" s="7"/>
      <c r="G58" s="7"/>
      <c r="H58" s="6" t="s">
        <v>53</v>
      </c>
      <c r="I58" s="16" t="s">
        <v>53</v>
      </c>
      <c r="J58" s="10" t="s">
        <v>53</v>
      </c>
      <c r="K58" s="10"/>
      <c r="L58" s="17">
        <v>8286005.38</v>
      </c>
    </row>
    <row r="59" ht="23" customHeight="1" spans="1:12">
      <c r="A59" s="6" t="s">
        <v>53</v>
      </c>
      <c r="B59" s="7" t="s">
        <v>53</v>
      </c>
      <c r="C59" s="7"/>
      <c r="D59" s="7" t="s">
        <v>94</v>
      </c>
      <c r="E59" s="7" t="s">
        <v>53</v>
      </c>
      <c r="F59" s="7"/>
      <c r="G59" s="7"/>
      <c r="H59" s="6" t="s">
        <v>53</v>
      </c>
      <c r="I59" s="16" t="s">
        <v>53</v>
      </c>
      <c r="J59" s="10" t="s">
        <v>53</v>
      </c>
      <c r="K59" s="10"/>
      <c r="L59" s="17">
        <v>1016898.94</v>
      </c>
    </row>
    <row r="60" ht="409" customHeight="1" spans="1:12">
      <c r="A60" s="18">
        <v>47</v>
      </c>
      <c r="B60" s="19">
        <v>10506001065</v>
      </c>
      <c r="C60" s="7"/>
      <c r="D60" s="7" t="s">
        <v>152</v>
      </c>
      <c r="E60" s="7" t="s">
        <v>153</v>
      </c>
      <c r="F60" s="7"/>
      <c r="G60" s="7"/>
      <c r="H60" s="6" t="s">
        <v>154</v>
      </c>
      <c r="I60" s="17">
        <v>32.512</v>
      </c>
      <c r="J60" s="17">
        <v>3926.41</v>
      </c>
      <c r="K60" s="10"/>
      <c r="L60" s="17">
        <v>127655.44</v>
      </c>
    </row>
    <row r="61" ht="12" customHeight="1" spans="1:12">
      <c r="A61" s="6"/>
      <c r="B61" s="7"/>
      <c r="C61" s="7"/>
      <c r="D61" s="7"/>
      <c r="E61" s="7"/>
      <c r="F61" s="7"/>
      <c r="G61" s="7"/>
      <c r="H61" s="6"/>
      <c r="I61" s="9"/>
      <c r="J61" s="10"/>
      <c r="K61" s="10"/>
      <c r="L61" s="10"/>
    </row>
    <row r="62" ht="409" customHeight="1" spans="1:12">
      <c r="A62" s="18">
        <v>48</v>
      </c>
      <c r="B62" s="19">
        <v>10506001066</v>
      </c>
      <c r="C62" s="7"/>
      <c r="D62" s="7" t="s">
        <v>152</v>
      </c>
      <c r="E62" s="7" t="s">
        <v>155</v>
      </c>
      <c r="F62" s="7"/>
      <c r="G62" s="7"/>
      <c r="H62" s="6" t="s">
        <v>154</v>
      </c>
      <c r="I62" s="17">
        <v>22.564</v>
      </c>
      <c r="J62" s="17">
        <v>3575.44</v>
      </c>
      <c r="K62" s="10"/>
      <c r="L62" s="17">
        <v>80676.23</v>
      </c>
    </row>
    <row r="63" ht="12" customHeight="1" spans="1:12">
      <c r="A63" s="6"/>
      <c r="B63" s="7"/>
      <c r="C63" s="7"/>
      <c r="D63" s="7"/>
      <c r="E63" s="7"/>
      <c r="F63" s="7"/>
      <c r="G63" s="7"/>
      <c r="H63" s="6"/>
      <c r="I63" s="9"/>
      <c r="J63" s="10"/>
      <c r="K63" s="10"/>
      <c r="L63" s="10"/>
    </row>
    <row r="64" ht="409" customHeight="1" spans="1:12">
      <c r="A64" s="18">
        <v>49</v>
      </c>
      <c r="B64" s="19">
        <v>10506001067</v>
      </c>
      <c r="C64" s="7"/>
      <c r="D64" s="7" t="s">
        <v>152</v>
      </c>
      <c r="E64" s="7" t="s">
        <v>156</v>
      </c>
      <c r="F64" s="7"/>
      <c r="G64" s="7"/>
      <c r="H64" s="6" t="s">
        <v>154</v>
      </c>
      <c r="I64" s="17">
        <v>1.141</v>
      </c>
      <c r="J64" s="17">
        <v>3539.81</v>
      </c>
      <c r="K64" s="10"/>
      <c r="L64" s="17">
        <v>4038.92</v>
      </c>
    </row>
    <row r="65" ht="12" customHeight="1" spans="1:12">
      <c r="A65" s="6"/>
      <c r="B65" s="7"/>
      <c r="C65" s="7"/>
      <c r="D65" s="7"/>
      <c r="E65" s="7"/>
      <c r="F65" s="7"/>
      <c r="G65" s="7"/>
      <c r="H65" s="6"/>
      <c r="I65" s="9"/>
      <c r="J65" s="10"/>
      <c r="K65" s="10"/>
      <c r="L65" s="10"/>
    </row>
    <row r="66" ht="409" customHeight="1" spans="1:12">
      <c r="A66" s="18">
        <v>50</v>
      </c>
      <c r="B66" s="19">
        <v>10506001068</v>
      </c>
      <c r="C66" s="7"/>
      <c r="D66" s="7" t="s">
        <v>152</v>
      </c>
      <c r="E66" s="7" t="s">
        <v>157</v>
      </c>
      <c r="F66" s="7"/>
      <c r="G66" s="7"/>
      <c r="H66" s="6" t="s">
        <v>154</v>
      </c>
      <c r="I66" s="17">
        <v>5.446</v>
      </c>
      <c r="J66" s="17">
        <v>3491.03</v>
      </c>
      <c r="K66" s="10"/>
      <c r="L66" s="17">
        <v>19012.15</v>
      </c>
    </row>
    <row r="67" ht="12" customHeight="1" spans="1:12">
      <c r="A67" s="6"/>
      <c r="B67" s="7"/>
      <c r="C67" s="7"/>
      <c r="D67" s="7"/>
      <c r="E67" s="7"/>
      <c r="F67" s="7"/>
      <c r="G67" s="7"/>
      <c r="H67" s="6"/>
      <c r="I67" s="9"/>
      <c r="J67" s="10"/>
      <c r="K67" s="10"/>
      <c r="L67" s="10"/>
    </row>
    <row r="68" ht="409" customHeight="1" spans="1:12">
      <c r="A68" s="18">
        <v>51</v>
      </c>
      <c r="B68" s="19">
        <v>10506001069</v>
      </c>
      <c r="C68" s="7"/>
      <c r="D68" s="7" t="s">
        <v>152</v>
      </c>
      <c r="E68" s="7" t="s">
        <v>158</v>
      </c>
      <c r="F68" s="7"/>
      <c r="G68" s="7"/>
      <c r="H68" s="6" t="s">
        <v>154</v>
      </c>
      <c r="I68" s="17">
        <v>4.649</v>
      </c>
      <c r="J68" s="17">
        <v>3545.16</v>
      </c>
      <c r="K68" s="10"/>
      <c r="L68" s="17">
        <v>16481.45</v>
      </c>
    </row>
    <row r="69" ht="12" customHeight="1" spans="1:12">
      <c r="A69" s="6"/>
      <c r="B69" s="7"/>
      <c r="C69" s="7"/>
      <c r="D69" s="7"/>
      <c r="E69" s="7"/>
      <c r="F69" s="7"/>
      <c r="G69" s="7"/>
      <c r="H69" s="6"/>
      <c r="I69" s="9"/>
      <c r="J69" s="10"/>
      <c r="K69" s="10"/>
      <c r="L69" s="10"/>
    </row>
    <row r="70" ht="409" customHeight="1" spans="1:12">
      <c r="A70" s="18">
        <v>52</v>
      </c>
      <c r="B70" s="19">
        <v>10506001070</v>
      </c>
      <c r="C70" s="7"/>
      <c r="D70" s="7" t="s">
        <v>152</v>
      </c>
      <c r="E70" s="7" t="s">
        <v>159</v>
      </c>
      <c r="F70" s="7"/>
      <c r="G70" s="7"/>
      <c r="H70" s="6" t="s">
        <v>154</v>
      </c>
      <c r="I70" s="17">
        <v>13.824</v>
      </c>
      <c r="J70" s="17">
        <v>3611.76</v>
      </c>
      <c r="K70" s="10"/>
      <c r="L70" s="17">
        <v>49928.97</v>
      </c>
    </row>
    <row r="71" ht="12" customHeight="1" spans="1:12">
      <c r="A71" s="6"/>
      <c r="B71" s="7"/>
      <c r="C71" s="7"/>
      <c r="D71" s="7"/>
      <c r="E71" s="7"/>
      <c r="F71" s="7"/>
      <c r="G71" s="7"/>
      <c r="H71" s="6"/>
      <c r="I71" s="9"/>
      <c r="J71" s="10"/>
      <c r="K71" s="10"/>
      <c r="L71" s="10"/>
    </row>
    <row r="72" ht="409" customHeight="1" spans="1:12">
      <c r="A72" s="18">
        <v>53</v>
      </c>
      <c r="B72" s="19">
        <v>10506001071</v>
      </c>
      <c r="C72" s="7"/>
      <c r="D72" s="7" t="s">
        <v>152</v>
      </c>
      <c r="E72" s="7" t="s">
        <v>160</v>
      </c>
      <c r="F72" s="7"/>
      <c r="G72" s="7"/>
      <c r="H72" s="6" t="s">
        <v>154</v>
      </c>
      <c r="I72" s="17">
        <v>21.461</v>
      </c>
      <c r="J72" s="17">
        <v>3611.76</v>
      </c>
      <c r="K72" s="10"/>
      <c r="L72" s="17">
        <v>77511.98</v>
      </c>
    </row>
    <row r="73" ht="12" customHeight="1" spans="1:12">
      <c r="A73" s="6"/>
      <c r="B73" s="7"/>
      <c r="C73" s="7"/>
      <c r="D73" s="7"/>
      <c r="E73" s="7"/>
      <c r="F73" s="7"/>
      <c r="G73" s="7"/>
      <c r="H73" s="6"/>
      <c r="I73" s="9"/>
      <c r="J73" s="10"/>
      <c r="K73" s="10"/>
      <c r="L73" s="10"/>
    </row>
    <row r="74" ht="409" customHeight="1" spans="1:12">
      <c r="A74" s="18">
        <v>54</v>
      </c>
      <c r="B74" s="19">
        <v>10506001072</v>
      </c>
      <c r="C74" s="7"/>
      <c r="D74" s="7" t="s">
        <v>152</v>
      </c>
      <c r="E74" s="7" t="s">
        <v>161</v>
      </c>
      <c r="F74" s="7"/>
      <c r="G74" s="7"/>
      <c r="H74" s="6" t="s">
        <v>154</v>
      </c>
      <c r="I74" s="17">
        <v>14.578</v>
      </c>
      <c r="J74" s="17">
        <v>3518.23</v>
      </c>
      <c r="K74" s="10"/>
      <c r="L74" s="17">
        <v>51288.76</v>
      </c>
    </row>
    <row r="75" ht="12" customHeight="1" spans="1:12">
      <c r="A75" s="6"/>
      <c r="B75" s="7"/>
      <c r="C75" s="7"/>
      <c r="D75" s="7"/>
      <c r="E75" s="7"/>
      <c r="F75" s="7"/>
      <c r="G75" s="7"/>
      <c r="H75" s="6"/>
      <c r="I75" s="9"/>
      <c r="J75" s="10"/>
      <c r="K75" s="10"/>
      <c r="L75" s="10"/>
    </row>
    <row r="76" ht="409" customHeight="1" spans="1:12">
      <c r="A76" s="18">
        <v>55</v>
      </c>
      <c r="B76" s="19">
        <v>10506001073</v>
      </c>
      <c r="C76" s="7"/>
      <c r="D76" s="7" t="s">
        <v>152</v>
      </c>
      <c r="E76" s="7" t="s">
        <v>162</v>
      </c>
      <c r="F76" s="7"/>
      <c r="G76" s="7"/>
      <c r="H76" s="6" t="s">
        <v>154</v>
      </c>
      <c r="I76" s="17">
        <v>2.619</v>
      </c>
      <c r="J76" s="17">
        <v>3513.71</v>
      </c>
      <c r="K76" s="10"/>
      <c r="L76" s="17">
        <v>9202.41</v>
      </c>
    </row>
    <row r="77" ht="12" customHeight="1" spans="1:12">
      <c r="A77" s="6"/>
      <c r="B77" s="7"/>
      <c r="C77" s="7"/>
      <c r="D77" s="7"/>
      <c r="E77" s="7"/>
      <c r="F77" s="7"/>
      <c r="G77" s="7"/>
      <c r="H77" s="6"/>
      <c r="I77" s="9"/>
      <c r="J77" s="10"/>
      <c r="K77" s="10"/>
      <c r="L77" s="10"/>
    </row>
    <row r="78" ht="405" customHeight="1" spans="1:12">
      <c r="A78" s="18">
        <v>56</v>
      </c>
      <c r="B78" s="19">
        <v>10506001074</v>
      </c>
      <c r="C78" s="7"/>
      <c r="D78" s="7" t="s">
        <v>163</v>
      </c>
      <c r="E78" s="7" t="s">
        <v>164</v>
      </c>
      <c r="F78" s="7"/>
      <c r="G78" s="7"/>
      <c r="H78" s="6" t="s">
        <v>154</v>
      </c>
      <c r="I78" s="17">
        <v>0.846</v>
      </c>
      <c r="J78" s="17">
        <v>3652.11</v>
      </c>
      <c r="K78" s="10"/>
      <c r="L78" s="17">
        <v>3089.69</v>
      </c>
    </row>
    <row r="79" ht="405" customHeight="1" spans="1:12">
      <c r="A79" s="18">
        <v>57</v>
      </c>
      <c r="B79" s="19">
        <v>10506001075</v>
      </c>
      <c r="C79" s="7"/>
      <c r="D79" s="7" t="s">
        <v>163</v>
      </c>
      <c r="E79" s="7" t="s">
        <v>165</v>
      </c>
      <c r="F79" s="7"/>
      <c r="G79" s="7"/>
      <c r="H79" s="6" t="s">
        <v>154</v>
      </c>
      <c r="I79" s="17">
        <v>2.286</v>
      </c>
      <c r="J79" s="17">
        <v>3652.11</v>
      </c>
      <c r="K79" s="10"/>
      <c r="L79" s="17">
        <v>8348.72</v>
      </c>
    </row>
    <row r="80" ht="405" customHeight="1" spans="1:12">
      <c r="A80" s="18">
        <v>58</v>
      </c>
      <c r="B80" s="19">
        <v>10506001076</v>
      </c>
      <c r="C80" s="7"/>
      <c r="D80" s="7" t="s">
        <v>163</v>
      </c>
      <c r="E80" s="7" t="s">
        <v>166</v>
      </c>
      <c r="F80" s="7"/>
      <c r="G80" s="7"/>
      <c r="H80" s="6" t="s">
        <v>154</v>
      </c>
      <c r="I80" s="17">
        <v>15.45</v>
      </c>
      <c r="J80" s="17">
        <v>3558.56</v>
      </c>
      <c r="K80" s="10"/>
      <c r="L80" s="17">
        <v>54979.75</v>
      </c>
    </row>
    <row r="81" ht="405" customHeight="1" spans="1:12">
      <c r="A81" s="18">
        <v>59</v>
      </c>
      <c r="B81" s="19">
        <v>10506001077</v>
      </c>
      <c r="C81" s="7"/>
      <c r="D81" s="7" t="s">
        <v>163</v>
      </c>
      <c r="E81" s="7" t="s">
        <v>167</v>
      </c>
      <c r="F81" s="7"/>
      <c r="G81" s="7"/>
      <c r="H81" s="6" t="s">
        <v>154</v>
      </c>
      <c r="I81" s="17">
        <v>57.892</v>
      </c>
      <c r="J81" s="17">
        <v>3554.05</v>
      </c>
      <c r="K81" s="10"/>
      <c r="L81" s="17">
        <v>205751.06</v>
      </c>
    </row>
    <row r="82" ht="125" customHeight="1" spans="1:12">
      <c r="A82" s="18">
        <v>60</v>
      </c>
      <c r="B82" s="19">
        <v>10506001078</v>
      </c>
      <c r="C82" s="7"/>
      <c r="D82" s="7" t="s">
        <v>168</v>
      </c>
      <c r="E82" s="7" t="s">
        <v>169</v>
      </c>
      <c r="F82" s="7"/>
      <c r="G82" s="7"/>
      <c r="H82" s="6" t="s">
        <v>154</v>
      </c>
      <c r="I82" s="17">
        <v>2.764</v>
      </c>
      <c r="J82" s="17">
        <v>4810.97</v>
      </c>
      <c r="K82" s="10"/>
      <c r="L82" s="17">
        <v>13297.52</v>
      </c>
    </row>
    <row r="83" ht="125" customHeight="1" spans="1:12">
      <c r="A83" s="18">
        <v>61</v>
      </c>
      <c r="B83" s="19">
        <v>10506001079</v>
      </c>
      <c r="C83" s="7"/>
      <c r="D83" s="7" t="s">
        <v>168</v>
      </c>
      <c r="E83" s="7" t="s">
        <v>170</v>
      </c>
      <c r="F83" s="7"/>
      <c r="G83" s="7"/>
      <c r="H83" s="6" t="s">
        <v>154</v>
      </c>
      <c r="I83" s="17">
        <v>26.759</v>
      </c>
      <c r="J83" s="17">
        <v>5154.62</v>
      </c>
      <c r="K83" s="10"/>
      <c r="L83" s="17">
        <v>137932.48</v>
      </c>
    </row>
    <row r="84" ht="125" customHeight="1" spans="1:12">
      <c r="A84" s="18">
        <v>62</v>
      </c>
      <c r="B84" s="19">
        <v>10506001080</v>
      </c>
      <c r="C84" s="7"/>
      <c r="D84" s="7" t="s">
        <v>168</v>
      </c>
      <c r="E84" s="7" t="s">
        <v>171</v>
      </c>
      <c r="F84" s="7"/>
      <c r="G84" s="7"/>
      <c r="H84" s="6" t="s">
        <v>154</v>
      </c>
      <c r="I84" s="17">
        <v>12.042</v>
      </c>
      <c r="J84" s="17">
        <v>4004.95</v>
      </c>
      <c r="K84" s="10"/>
      <c r="L84" s="17">
        <v>48227.61</v>
      </c>
    </row>
    <row r="85" ht="125" customHeight="1" spans="1:12">
      <c r="A85" s="18">
        <v>63</v>
      </c>
      <c r="B85" s="19">
        <v>10506001081</v>
      </c>
      <c r="C85" s="7"/>
      <c r="D85" s="7" t="s">
        <v>168</v>
      </c>
      <c r="E85" s="7" t="s">
        <v>172</v>
      </c>
      <c r="F85" s="7"/>
      <c r="G85" s="7"/>
      <c r="H85" s="6" t="s">
        <v>154</v>
      </c>
      <c r="I85" s="17">
        <v>24.283</v>
      </c>
      <c r="J85" s="17">
        <v>3918.65</v>
      </c>
      <c r="K85" s="10"/>
      <c r="L85" s="17">
        <v>95156.58</v>
      </c>
    </row>
    <row r="86" ht="95" customHeight="1" spans="1:12">
      <c r="A86" s="18">
        <v>64</v>
      </c>
      <c r="B86" s="19">
        <v>10506001082</v>
      </c>
      <c r="C86" s="7"/>
      <c r="D86" s="7" t="s">
        <v>173</v>
      </c>
      <c r="E86" s="7" t="s">
        <v>174</v>
      </c>
      <c r="F86" s="7"/>
      <c r="G86" s="7"/>
      <c r="H86" s="6" t="s">
        <v>175</v>
      </c>
      <c r="I86" s="17">
        <v>90</v>
      </c>
      <c r="J86" s="17">
        <v>10.09</v>
      </c>
      <c r="K86" s="10"/>
      <c r="L86" s="17">
        <v>908.1</v>
      </c>
    </row>
    <row r="87" ht="95" customHeight="1" spans="1:12">
      <c r="A87" s="18">
        <v>65</v>
      </c>
      <c r="B87" s="19">
        <v>10506001083</v>
      </c>
      <c r="C87" s="7"/>
      <c r="D87" s="7" t="s">
        <v>173</v>
      </c>
      <c r="E87" s="7" t="s">
        <v>176</v>
      </c>
      <c r="F87" s="7"/>
      <c r="G87" s="7"/>
      <c r="H87" s="6" t="s">
        <v>175</v>
      </c>
      <c r="I87" s="17">
        <v>371</v>
      </c>
      <c r="J87" s="17">
        <v>12.11</v>
      </c>
      <c r="K87" s="10"/>
      <c r="L87" s="17">
        <v>4492.81</v>
      </c>
    </row>
    <row r="88" ht="95" customHeight="1" spans="1:12">
      <c r="A88" s="18">
        <v>66</v>
      </c>
      <c r="B88" s="19">
        <v>10506001084</v>
      </c>
      <c r="C88" s="7"/>
      <c r="D88" s="7" t="s">
        <v>173</v>
      </c>
      <c r="E88" s="7" t="s">
        <v>177</v>
      </c>
      <c r="F88" s="7"/>
      <c r="G88" s="7"/>
      <c r="H88" s="6" t="s">
        <v>175</v>
      </c>
      <c r="I88" s="17">
        <v>419</v>
      </c>
      <c r="J88" s="17">
        <v>12.44</v>
      </c>
      <c r="K88" s="10"/>
      <c r="L88" s="17">
        <v>5212.36</v>
      </c>
    </row>
    <row r="89" ht="95" customHeight="1" spans="1:12">
      <c r="A89" s="18">
        <v>67</v>
      </c>
      <c r="B89" s="19">
        <v>10506001085</v>
      </c>
      <c r="C89" s="7"/>
      <c r="D89" s="7" t="s">
        <v>173</v>
      </c>
      <c r="E89" s="7" t="s">
        <v>178</v>
      </c>
      <c r="F89" s="7"/>
      <c r="G89" s="7"/>
      <c r="H89" s="6" t="s">
        <v>175</v>
      </c>
      <c r="I89" s="17">
        <v>247</v>
      </c>
      <c r="J89" s="17">
        <v>13.01</v>
      </c>
      <c r="K89" s="10"/>
      <c r="L89" s="17">
        <v>3213.47</v>
      </c>
    </row>
    <row r="90" ht="95" customHeight="1" spans="1:12">
      <c r="A90" s="18">
        <v>68</v>
      </c>
      <c r="B90" s="19">
        <v>10506001086</v>
      </c>
      <c r="C90" s="7"/>
      <c r="D90" s="7" t="s">
        <v>173</v>
      </c>
      <c r="E90" s="7" t="s">
        <v>179</v>
      </c>
      <c r="F90" s="7"/>
      <c r="G90" s="7"/>
      <c r="H90" s="6" t="s">
        <v>175</v>
      </c>
      <c r="I90" s="17">
        <v>32</v>
      </c>
      <c r="J90" s="17">
        <v>15.39</v>
      </c>
      <c r="K90" s="10"/>
      <c r="L90" s="17">
        <v>492.48</v>
      </c>
    </row>
    <row r="91" ht="23" customHeight="1" spans="1:12">
      <c r="A91" s="6" t="s">
        <v>53</v>
      </c>
      <c r="B91" s="7" t="s">
        <v>53</v>
      </c>
      <c r="C91" s="7"/>
      <c r="D91" s="7" t="s">
        <v>107</v>
      </c>
      <c r="E91" s="7" t="s">
        <v>53</v>
      </c>
      <c r="F91" s="7"/>
      <c r="G91" s="7"/>
      <c r="H91" s="6" t="s">
        <v>53</v>
      </c>
      <c r="I91" s="16" t="s">
        <v>53</v>
      </c>
      <c r="J91" s="10" t="s">
        <v>53</v>
      </c>
      <c r="K91" s="10"/>
      <c r="L91" s="17">
        <v>7269106.44</v>
      </c>
    </row>
    <row r="92" ht="183" customHeight="1" spans="1:12">
      <c r="A92" s="18">
        <v>69</v>
      </c>
      <c r="B92" s="19">
        <v>10506001087</v>
      </c>
      <c r="C92" s="7"/>
      <c r="D92" s="7" t="s">
        <v>152</v>
      </c>
      <c r="E92" s="7" t="s">
        <v>180</v>
      </c>
      <c r="F92" s="7"/>
      <c r="G92" s="7"/>
      <c r="H92" s="6" t="s">
        <v>154</v>
      </c>
      <c r="I92" s="17">
        <v>169.423</v>
      </c>
      <c r="J92" s="17">
        <v>3937.08</v>
      </c>
      <c r="K92" s="10"/>
      <c r="L92" s="17">
        <v>667031.9</v>
      </c>
    </row>
    <row r="93" ht="183" customHeight="1" spans="1:12">
      <c r="A93" s="18">
        <v>70</v>
      </c>
      <c r="B93" s="19">
        <v>10506001088</v>
      </c>
      <c r="C93" s="7"/>
      <c r="D93" s="7" t="s">
        <v>152</v>
      </c>
      <c r="E93" s="7" t="s">
        <v>181</v>
      </c>
      <c r="F93" s="7"/>
      <c r="G93" s="7"/>
      <c r="H93" s="6" t="s">
        <v>154</v>
      </c>
      <c r="I93" s="17">
        <v>52.285</v>
      </c>
      <c r="J93" s="17">
        <v>3582.85</v>
      </c>
      <c r="K93" s="10"/>
      <c r="L93" s="17">
        <v>187329.31</v>
      </c>
    </row>
    <row r="94" ht="183" customHeight="1" spans="1:12">
      <c r="A94" s="18">
        <v>71</v>
      </c>
      <c r="B94" s="19">
        <v>10506001089</v>
      </c>
      <c r="C94" s="7"/>
      <c r="D94" s="7" t="s">
        <v>152</v>
      </c>
      <c r="E94" s="7" t="s">
        <v>182</v>
      </c>
      <c r="F94" s="7"/>
      <c r="G94" s="7"/>
      <c r="H94" s="6" t="s">
        <v>154</v>
      </c>
      <c r="I94" s="17">
        <v>40.531</v>
      </c>
      <c r="J94" s="17">
        <v>3547.22</v>
      </c>
      <c r="K94" s="10"/>
      <c r="L94" s="17">
        <v>143772.37</v>
      </c>
    </row>
    <row r="95" ht="183" customHeight="1" spans="1:12">
      <c r="A95" s="18">
        <v>72</v>
      </c>
      <c r="B95" s="19">
        <v>10506001090</v>
      </c>
      <c r="C95" s="7"/>
      <c r="D95" s="7" t="s">
        <v>152</v>
      </c>
      <c r="E95" s="7" t="s">
        <v>183</v>
      </c>
      <c r="F95" s="7"/>
      <c r="G95" s="7"/>
      <c r="H95" s="6" t="s">
        <v>154</v>
      </c>
      <c r="I95" s="17">
        <v>3.909</v>
      </c>
      <c r="J95" s="17">
        <v>3498.45</v>
      </c>
      <c r="K95" s="10"/>
      <c r="L95" s="17">
        <v>13675.44</v>
      </c>
    </row>
    <row r="96" ht="183" customHeight="1" spans="1:12">
      <c r="A96" s="18">
        <v>73</v>
      </c>
      <c r="B96" s="19">
        <v>10506001091</v>
      </c>
      <c r="C96" s="7"/>
      <c r="D96" s="7" t="s">
        <v>152</v>
      </c>
      <c r="E96" s="7" t="s">
        <v>184</v>
      </c>
      <c r="F96" s="7"/>
      <c r="G96" s="7"/>
      <c r="H96" s="6" t="s">
        <v>154</v>
      </c>
      <c r="I96" s="17">
        <v>10.008</v>
      </c>
      <c r="J96" s="17">
        <v>3554.02</v>
      </c>
      <c r="K96" s="10"/>
      <c r="L96" s="17">
        <v>35568.63</v>
      </c>
    </row>
    <row r="97" ht="183" customHeight="1" spans="1:12">
      <c r="A97" s="18">
        <v>74</v>
      </c>
      <c r="B97" s="19">
        <v>10506001092</v>
      </c>
      <c r="C97" s="7"/>
      <c r="D97" s="7" t="s">
        <v>152</v>
      </c>
      <c r="E97" s="7" t="s">
        <v>185</v>
      </c>
      <c r="F97" s="7"/>
      <c r="G97" s="7"/>
      <c r="H97" s="6" t="s">
        <v>154</v>
      </c>
      <c r="I97" s="17">
        <v>3.23</v>
      </c>
      <c r="J97" s="17">
        <v>3620.62</v>
      </c>
      <c r="K97" s="10"/>
      <c r="L97" s="17">
        <v>11694.6</v>
      </c>
    </row>
    <row r="98" ht="139" customHeight="1" spans="1:12">
      <c r="A98" s="18">
        <v>75</v>
      </c>
      <c r="B98" s="19">
        <v>10506001093</v>
      </c>
      <c r="C98" s="7"/>
      <c r="D98" s="7" t="s">
        <v>163</v>
      </c>
      <c r="E98" s="7" t="s">
        <v>186</v>
      </c>
      <c r="F98" s="7"/>
      <c r="G98" s="7"/>
      <c r="H98" s="6" t="s">
        <v>154</v>
      </c>
      <c r="I98" s="17">
        <v>6.428</v>
      </c>
      <c r="J98" s="17">
        <v>3677.7</v>
      </c>
      <c r="K98" s="10"/>
      <c r="L98" s="17">
        <v>23640.26</v>
      </c>
    </row>
    <row r="99" ht="139" customHeight="1" spans="1:12">
      <c r="A99" s="18">
        <v>76</v>
      </c>
      <c r="B99" s="19">
        <v>10506001094</v>
      </c>
      <c r="C99" s="7"/>
      <c r="D99" s="7" t="s">
        <v>163</v>
      </c>
      <c r="E99" s="7" t="s">
        <v>187</v>
      </c>
      <c r="F99" s="7"/>
      <c r="G99" s="7"/>
      <c r="H99" s="6" t="s">
        <v>154</v>
      </c>
      <c r="I99" s="17">
        <v>10.573</v>
      </c>
      <c r="J99" s="17">
        <v>3623.21</v>
      </c>
      <c r="K99" s="10"/>
      <c r="L99" s="17">
        <v>38308.2</v>
      </c>
    </row>
    <row r="100" ht="139" customHeight="1" spans="1:12">
      <c r="A100" s="18">
        <v>77</v>
      </c>
      <c r="B100" s="19">
        <v>10506001095</v>
      </c>
      <c r="C100" s="7"/>
      <c r="D100" s="7" t="s">
        <v>163</v>
      </c>
      <c r="E100" s="7" t="s">
        <v>188</v>
      </c>
      <c r="F100" s="7"/>
      <c r="G100" s="7"/>
      <c r="H100" s="6" t="s">
        <v>154</v>
      </c>
      <c r="I100" s="17">
        <v>4.212</v>
      </c>
      <c r="J100" s="17">
        <v>3580.14</v>
      </c>
      <c r="K100" s="10"/>
      <c r="L100" s="17">
        <v>15079.55</v>
      </c>
    </row>
    <row r="101" ht="139" customHeight="1" spans="1:12">
      <c r="A101" s="18">
        <v>78</v>
      </c>
      <c r="B101" s="19">
        <v>10506001096</v>
      </c>
      <c r="C101" s="7"/>
      <c r="D101" s="7" t="s">
        <v>163</v>
      </c>
      <c r="E101" s="7" t="s">
        <v>189</v>
      </c>
      <c r="F101" s="7"/>
      <c r="G101" s="7"/>
      <c r="H101" s="6" t="s">
        <v>154</v>
      </c>
      <c r="I101" s="17">
        <v>4.28</v>
      </c>
      <c r="J101" s="17">
        <v>3531.36</v>
      </c>
      <c r="K101" s="10"/>
      <c r="L101" s="17">
        <v>15114.22</v>
      </c>
    </row>
    <row r="102" ht="139" customHeight="1" spans="1:12">
      <c r="A102" s="18">
        <v>79</v>
      </c>
      <c r="B102" s="19">
        <v>10506001097</v>
      </c>
      <c r="C102" s="7"/>
      <c r="D102" s="7" t="s">
        <v>163</v>
      </c>
      <c r="E102" s="7" t="s">
        <v>190</v>
      </c>
      <c r="F102" s="7"/>
      <c r="G102" s="7"/>
      <c r="H102" s="6" t="s">
        <v>154</v>
      </c>
      <c r="I102" s="17">
        <v>6.005</v>
      </c>
      <c r="J102" s="17">
        <v>3594.36</v>
      </c>
      <c r="K102" s="10"/>
      <c r="L102" s="17">
        <v>21584.13</v>
      </c>
    </row>
    <row r="103" ht="139" customHeight="1" spans="1:12">
      <c r="A103" s="18">
        <v>80</v>
      </c>
      <c r="B103" s="19">
        <v>10506001098</v>
      </c>
      <c r="C103" s="7"/>
      <c r="D103" s="7" t="s">
        <v>163</v>
      </c>
      <c r="E103" s="7" t="s">
        <v>191</v>
      </c>
      <c r="F103" s="7"/>
      <c r="G103" s="7"/>
      <c r="H103" s="6" t="s">
        <v>154</v>
      </c>
      <c r="I103" s="17">
        <v>6.729</v>
      </c>
      <c r="J103" s="17">
        <v>3660.97</v>
      </c>
      <c r="K103" s="10"/>
      <c r="L103" s="17">
        <v>24634.67</v>
      </c>
    </row>
    <row r="104" ht="139" customHeight="1" spans="1:12">
      <c r="A104" s="18">
        <v>81</v>
      </c>
      <c r="B104" s="19">
        <v>10506001099</v>
      </c>
      <c r="C104" s="7"/>
      <c r="D104" s="7" t="s">
        <v>163</v>
      </c>
      <c r="E104" s="7" t="s">
        <v>192</v>
      </c>
      <c r="F104" s="7"/>
      <c r="G104" s="7"/>
      <c r="H104" s="6" t="s">
        <v>154</v>
      </c>
      <c r="I104" s="17">
        <v>29.786</v>
      </c>
      <c r="J104" s="17">
        <v>3660.97</v>
      </c>
      <c r="K104" s="10"/>
      <c r="L104" s="17">
        <v>109045.65</v>
      </c>
    </row>
    <row r="105" ht="139" customHeight="1" spans="1:12">
      <c r="A105" s="18">
        <v>82</v>
      </c>
      <c r="B105" s="19">
        <v>10506001100</v>
      </c>
      <c r="C105" s="7"/>
      <c r="D105" s="7" t="s">
        <v>163</v>
      </c>
      <c r="E105" s="7" t="s">
        <v>193</v>
      </c>
      <c r="F105" s="7"/>
      <c r="G105" s="7"/>
      <c r="H105" s="6" t="s">
        <v>154</v>
      </c>
      <c r="I105" s="17">
        <v>94.215</v>
      </c>
      <c r="J105" s="17">
        <v>3565.97</v>
      </c>
      <c r="K105" s="10"/>
      <c r="L105" s="17">
        <v>335967.86</v>
      </c>
    </row>
    <row r="106" ht="139" customHeight="1" spans="1:12">
      <c r="A106" s="18">
        <v>83</v>
      </c>
      <c r="B106" s="19">
        <v>10506001101</v>
      </c>
      <c r="C106" s="7"/>
      <c r="D106" s="7" t="s">
        <v>163</v>
      </c>
      <c r="E106" s="7" t="s">
        <v>194</v>
      </c>
      <c r="F106" s="7"/>
      <c r="G106" s="7"/>
      <c r="H106" s="6" t="s">
        <v>154</v>
      </c>
      <c r="I106" s="17">
        <v>220.44</v>
      </c>
      <c r="J106" s="17">
        <v>3560.63</v>
      </c>
      <c r="K106" s="10"/>
      <c r="L106" s="17">
        <v>784905.28</v>
      </c>
    </row>
    <row r="107" ht="139" customHeight="1" spans="1:12">
      <c r="A107" s="18">
        <v>84</v>
      </c>
      <c r="B107" s="19">
        <v>10506001102</v>
      </c>
      <c r="C107" s="7"/>
      <c r="D107" s="7" t="s">
        <v>163</v>
      </c>
      <c r="E107" s="7" t="s">
        <v>195</v>
      </c>
      <c r="F107" s="7"/>
      <c r="G107" s="7"/>
      <c r="H107" s="6" t="s">
        <v>154</v>
      </c>
      <c r="I107" s="17">
        <v>57.708</v>
      </c>
      <c r="J107" s="17">
        <v>4018.6</v>
      </c>
      <c r="K107" s="10"/>
      <c r="L107" s="17">
        <v>231905.37</v>
      </c>
    </row>
    <row r="108" ht="139" customHeight="1" spans="1:12">
      <c r="A108" s="18">
        <v>85</v>
      </c>
      <c r="B108" s="19">
        <v>10506001103</v>
      </c>
      <c r="C108" s="7"/>
      <c r="D108" s="7" t="s">
        <v>163</v>
      </c>
      <c r="E108" s="7" t="s">
        <v>196</v>
      </c>
      <c r="F108" s="7"/>
      <c r="G108" s="7"/>
      <c r="H108" s="6" t="s">
        <v>154</v>
      </c>
      <c r="I108" s="17">
        <v>313.455</v>
      </c>
      <c r="J108" s="17">
        <v>4209</v>
      </c>
      <c r="K108" s="10"/>
      <c r="L108" s="17">
        <v>1319332.1</v>
      </c>
    </row>
    <row r="109" ht="139" customHeight="1" spans="1:12">
      <c r="A109" s="18">
        <v>86</v>
      </c>
      <c r="B109" s="19">
        <v>10506001104</v>
      </c>
      <c r="C109" s="7"/>
      <c r="D109" s="7" t="s">
        <v>163</v>
      </c>
      <c r="E109" s="7" t="s">
        <v>197</v>
      </c>
      <c r="F109" s="7"/>
      <c r="G109" s="7"/>
      <c r="H109" s="6" t="s">
        <v>154</v>
      </c>
      <c r="I109" s="17">
        <v>269.029</v>
      </c>
      <c r="J109" s="17">
        <v>3979.08</v>
      </c>
      <c r="K109" s="10"/>
      <c r="L109" s="17">
        <v>1070487.91</v>
      </c>
    </row>
    <row r="110" ht="154" customHeight="1" spans="1:12">
      <c r="A110" s="18">
        <v>87</v>
      </c>
      <c r="B110" s="19">
        <v>10506001105</v>
      </c>
      <c r="C110" s="7"/>
      <c r="D110" s="7" t="s">
        <v>168</v>
      </c>
      <c r="E110" s="7" t="s">
        <v>198</v>
      </c>
      <c r="F110" s="7"/>
      <c r="G110" s="7"/>
      <c r="H110" s="6" t="s">
        <v>154</v>
      </c>
      <c r="I110" s="17">
        <v>24.783</v>
      </c>
      <c r="J110" s="17">
        <v>4831.36</v>
      </c>
      <c r="K110" s="10"/>
      <c r="L110" s="17">
        <v>119735.59</v>
      </c>
    </row>
    <row r="111" ht="154" customHeight="1" spans="1:12">
      <c r="A111" s="18">
        <v>88</v>
      </c>
      <c r="B111" s="19">
        <v>10506001106</v>
      </c>
      <c r="C111" s="7"/>
      <c r="D111" s="7" t="s">
        <v>168</v>
      </c>
      <c r="E111" s="7" t="s">
        <v>199</v>
      </c>
      <c r="F111" s="7"/>
      <c r="G111" s="7"/>
      <c r="H111" s="6" t="s">
        <v>154</v>
      </c>
      <c r="I111" s="17">
        <v>221.239</v>
      </c>
      <c r="J111" s="17">
        <v>5178.06</v>
      </c>
      <c r="K111" s="10"/>
      <c r="L111" s="17">
        <v>1145588.82</v>
      </c>
    </row>
    <row r="112" ht="154" customHeight="1" spans="1:12">
      <c r="A112" s="18">
        <v>89</v>
      </c>
      <c r="B112" s="19">
        <v>10506001107</v>
      </c>
      <c r="C112" s="7"/>
      <c r="D112" s="7" t="s">
        <v>168</v>
      </c>
      <c r="E112" s="7" t="s">
        <v>200</v>
      </c>
      <c r="F112" s="7"/>
      <c r="G112" s="7"/>
      <c r="H112" s="6" t="s">
        <v>154</v>
      </c>
      <c r="I112" s="17">
        <v>97.419</v>
      </c>
      <c r="J112" s="17">
        <v>3999</v>
      </c>
      <c r="K112" s="10"/>
      <c r="L112" s="17">
        <v>389578.58</v>
      </c>
    </row>
    <row r="113" ht="154" customHeight="1" spans="1:12">
      <c r="A113" s="18">
        <v>90</v>
      </c>
      <c r="B113" s="19">
        <v>10506001108</v>
      </c>
      <c r="C113" s="7"/>
      <c r="D113" s="7" t="s">
        <v>168</v>
      </c>
      <c r="E113" s="7" t="s">
        <v>201</v>
      </c>
      <c r="F113" s="7"/>
      <c r="G113" s="7"/>
      <c r="H113" s="6" t="s">
        <v>154</v>
      </c>
      <c r="I113" s="17">
        <v>1.271</v>
      </c>
      <c r="J113" s="17">
        <v>3930.53</v>
      </c>
      <c r="K113" s="10"/>
      <c r="L113" s="17">
        <v>4995.7</v>
      </c>
    </row>
    <row r="114" ht="169" customHeight="1" spans="1:12">
      <c r="A114" s="18">
        <v>91</v>
      </c>
      <c r="B114" s="19">
        <v>10506001109</v>
      </c>
      <c r="C114" s="7"/>
      <c r="D114" s="7" t="s">
        <v>202</v>
      </c>
      <c r="E114" s="7" t="s">
        <v>203</v>
      </c>
      <c r="F114" s="7"/>
      <c r="G114" s="7"/>
      <c r="H114" s="6" t="s">
        <v>154</v>
      </c>
      <c r="I114" s="17">
        <v>29.435</v>
      </c>
      <c r="J114" s="17">
        <v>7620.75</v>
      </c>
      <c r="K114" s="10"/>
      <c r="L114" s="17">
        <v>224316.78</v>
      </c>
    </row>
    <row r="115" ht="110" customHeight="1" spans="1:12">
      <c r="A115" s="18">
        <v>92</v>
      </c>
      <c r="B115" s="19">
        <v>10506001110</v>
      </c>
      <c r="C115" s="7"/>
      <c r="D115" s="7" t="s">
        <v>204</v>
      </c>
      <c r="E115" s="7" t="s">
        <v>205</v>
      </c>
      <c r="F115" s="7"/>
      <c r="G115" s="7"/>
      <c r="H115" s="6" t="s">
        <v>206</v>
      </c>
      <c r="I115" s="17">
        <v>62</v>
      </c>
      <c r="J115" s="17">
        <v>262.07</v>
      </c>
      <c r="K115" s="10"/>
      <c r="L115" s="17">
        <v>16248.34</v>
      </c>
    </row>
    <row r="116" ht="125" customHeight="1" spans="1:12">
      <c r="A116" s="18">
        <v>93</v>
      </c>
      <c r="B116" s="19">
        <v>10506001111</v>
      </c>
      <c r="C116" s="7"/>
      <c r="D116" s="7" t="s">
        <v>173</v>
      </c>
      <c r="E116" s="7" t="s">
        <v>207</v>
      </c>
      <c r="F116" s="7"/>
      <c r="G116" s="7"/>
      <c r="H116" s="6" t="s">
        <v>175</v>
      </c>
      <c r="I116" s="17">
        <v>867</v>
      </c>
      <c r="J116" s="17">
        <v>10.19</v>
      </c>
      <c r="K116" s="10"/>
      <c r="L116" s="17">
        <v>8834.73</v>
      </c>
    </row>
    <row r="117" ht="125" customHeight="1" spans="1:12">
      <c r="A117" s="18">
        <v>94</v>
      </c>
      <c r="B117" s="19">
        <v>10506001112</v>
      </c>
      <c r="C117" s="7"/>
      <c r="D117" s="7" t="s">
        <v>173</v>
      </c>
      <c r="E117" s="7" t="s">
        <v>208</v>
      </c>
      <c r="F117" s="7"/>
      <c r="G117" s="7"/>
      <c r="H117" s="6" t="s">
        <v>175</v>
      </c>
      <c r="I117" s="17">
        <v>1049</v>
      </c>
      <c r="J117" s="17">
        <v>12.23</v>
      </c>
      <c r="K117" s="10"/>
      <c r="L117" s="17">
        <v>12829.27</v>
      </c>
    </row>
    <row r="118" ht="125" customHeight="1" spans="1:12">
      <c r="A118" s="18">
        <v>95</v>
      </c>
      <c r="B118" s="19">
        <v>10506001113</v>
      </c>
      <c r="C118" s="7"/>
      <c r="D118" s="7" t="s">
        <v>173</v>
      </c>
      <c r="E118" s="7" t="s">
        <v>209</v>
      </c>
      <c r="F118" s="7"/>
      <c r="G118" s="7"/>
      <c r="H118" s="6" t="s">
        <v>175</v>
      </c>
      <c r="I118" s="17">
        <v>2906</v>
      </c>
      <c r="J118" s="17">
        <v>12.56</v>
      </c>
      <c r="K118" s="10"/>
      <c r="L118" s="17">
        <v>36499.36</v>
      </c>
    </row>
    <row r="119" ht="125" customHeight="1" spans="1:12">
      <c r="A119" s="18">
        <v>96</v>
      </c>
      <c r="B119" s="19">
        <v>10506001114</v>
      </c>
      <c r="C119" s="7"/>
      <c r="D119" s="7" t="s">
        <v>173</v>
      </c>
      <c r="E119" s="7" t="s">
        <v>210</v>
      </c>
      <c r="F119" s="7"/>
      <c r="G119" s="7"/>
      <c r="H119" s="6" t="s">
        <v>175</v>
      </c>
      <c r="I119" s="17">
        <v>6402</v>
      </c>
      <c r="J119" s="17">
        <v>13.13</v>
      </c>
      <c r="K119" s="10"/>
      <c r="L119" s="17">
        <v>84058.26</v>
      </c>
    </row>
    <row r="120" ht="125" customHeight="1" spans="1:12">
      <c r="A120" s="18">
        <v>97</v>
      </c>
      <c r="B120" s="19">
        <v>10506001115</v>
      </c>
      <c r="C120" s="7"/>
      <c r="D120" s="7" t="s">
        <v>173</v>
      </c>
      <c r="E120" s="7" t="s">
        <v>211</v>
      </c>
      <c r="F120" s="7"/>
      <c r="G120" s="7"/>
      <c r="H120" s="6" t="s">
        <v>175</v>
      </c>
      <c r="I120" s="17">
        <v>10060</v>
      </c>
      <c r="J120" s="17">
        <v>15.53</v>
      </c>
      <c r="K120" s="10"/>
      <c r="L120" s="17">
        <v>156231.8</v>
      </c>
    </row>
    <row r="121" ht="125" customHeight="1" spans="1:12">
      <c r="A121" s="18">
        <v>98</v>
      </c>
      <c r="B121" s="19">
        <v>10506001116</v>
      </c>
      <c r="C121" s="7"/>
      <c r="D121" s="7" t="s">
        <v>173</v>
      </c>
      <c r="E121" s="7" t="s">
        <v>212</v>
      </c>
      <c r="F121" s="7"/>
      <c r="G121" s="7"/>
      <c r="H121" s="6" t="s">
        <v>175</v>
      </c>
      <c r="I121" s="17">
        <v>1304</v>
      </c>
      <c r="J121" s="17">
        <v>16.19</v>
      </c>
      <c r="K121" s="10"/>
      <c r="L121" s="17">
        <v>21111.76</v>
      </c>
    </row>
    <row r="122" ht="23" customHeight="1" spans="1:12">
      <c r="A122" s="6" t="s">
        <v>53</v>
      </c>
      <c r="B122" s="7" t="s">
        <v>53</v>
      </c>
      <c r="C122" s="7"/>
      <c r="D122" s="7" t="s">
        <v>22</v>
      </c>
      <c r="E122" s="7" t="s">
        <v>53</v>
      </c>
      <c r="F122" s="7"/>
      <c r="G122" s="7"/>
      <c r="H122" s="6" t="s">
        <v>53</v>
      </c>
      <c r="I122" s="16" t="s">
        <v>53</v>
      </c>
      <c r="J122" s="10" t="s">
        <v>53</v>
      </c>
      <c r="K122" s="10"/>
      <c r="L122" s="17">
        <v>9486821.37</v>
      </c>
    </row>
    <row r="123" ht="23" customHeight="1" spans="1:12">
      <c r="A123" s="6" t="s">
        <v>53</v>
      </c>
      <c r="B123" s="7" t="s">
        <v>53</v>
      </c>
      <c r="C123" s="7"/>
      <c r="D123" s="7" t="s">
        <v>213</v>
      </c>
      <c r="E123" s="7" t="s">
        <v>53</v>
      </c>
      <c r="F123" s="7"/>
      <c r="G123" s="7"/>
      <c r="H123" s="6" t="s">
        <v>53</v>
      </c>
      <c r="I123" s="16" t="s">
        <v>53</v>
      </c>
      <c r="J123" s="10" t="s">
        <v>53</v>
      </c>
      <c r="K123" s="10"/>
      <c r="L123" s="17">
        <v>5412326.75</v>
      </c>
    </row>
    <row r="124" ht="213" customHeight="1" spans="1:12">
      <c r="A124" s="18">
        <v>99</v>
      </c>
      <c r="B124" s="19">
        <v>10603001003</v>
      </c>
      <c r="C124" s="7"/>
      <c r="D124" s="7" t="s">
        <v>214</v>
      </c>
      <c r="E124" s="7" t="s">
        <v>215</v>
      </c>
      <c r="F124" s="7"/>
      <c r="G124" s="7"/>
      <c r="H124" s="6" t="s">
        <v>154</v>
      </c>
      <c r="I124" s="17">
        <v>4.419</v>
      </c>
      <c r="J124" s="17">
        <v>6018.16</v>
      </c>
      <c r="K124" s="10"/>
      <c r="L124" s="17">
        <v>26594.25</v>
      </c>
    </row>
    <row r="125" ht="213" customHeight="1" spans="1:12">
      <c r="A125" s="18">
        <v>100</v>
      </c>
      <c r="B125" s="19">
        <v>10604001002</v>
      </c>
      <c r="C125" s="7"/>
      <c r="D125" s="7" t="s">
        <v>216</v>
      </c>
      <c r="E125" s="7" t="s">
        <v>217</v>
      </c>
      <c r="F125" s="7"/>
      <c r="G125" s="7"/>
      <c r="H125" s="6" t="s">
        <v>154</v>
      </c>
      <c r="I125" s="17">
        <v>334.023</v>
      </c>
      <c r="J125" s="17">
        <v>6290.94</v>
      </c>
      <c r="K125" s="10"/>
      <c r="L125" s="17">
        <v>2101318.65</v>
      </c>
    </row>
    <row r="126" ht="213" customHeight="1" spans="1:12">
      <c r="A126" s="18">
        <v>101</v>
      </c>
      <c r="B126" s="19">
        <v>10607002004</v>
      </c>
      <c r="C126" s="7"/>
      <c r="D126" s="7" t="s">
        <v>218</v>
      </c>
      <c r="E126" s="7" t="s">
        <v>219</v>
      </c>
      <c r="F126" s="7"/>
      <c r="G126" s="7"/>
      <c r="H126" s="6" t="s">
        <v>154</v>
      </c>
      <c r="I126" s="17">
        <v>7.209</v>
      </c>
      <c r="J126" s="17">
        <v>7663.39</v>
      </c>
      <c r="K126" s="10"/>
      <c r="L126" s="17">
        <v>55245.38</v>
      </c>
    </row>
    <row r="127" ht="288" customHeight="1" spans="1:12">
      <c r="A127" s="18">
        <v>102</v>
      </c>
      <c r="B127" s="19">
        <v>10607002005</v>
      </c>
      <c r="C127" s="7"/>
      <c r="D127" s="7" t="s">
        <v>220</v>
      </c>
      <c r="E127" s="7" t="s">
        <v>221</v>
      </c>
      <c r="F127" s="7"/>
      <c r="G127" s="7"/>
      <c r="H127" s="6" t="s">
        <v>154</v>
      </c>
      <c r="I127" s="17">
        <v>27.177</v>
      </c>
      <c r="J127" s="17">
        <v>7663.39</v>
      </c>
      <c r="K127" s="10"/>
      <c r="L127" s="17">
        <v>208267.95</v>
      </c>
    </row>
    <row r="128" ht="228" customHeight="1" spans="1:12">
      <c r="A128" s="18">
        <v>103</v>
      </c>
      <c r="B128" s="19">
        <v>10607002006</v>
      </c>
      <c r="C128" s="7"/>
      <c r="D128" s="7" t="s">
        <v>222</v>
      </c>
      <c r="E128" s="7" t="s">
        <v>223</v>
      </c>
      <c r="F128" s="7"/>
      <c r="G128" s="7"/>
      <c r="H128" s="6" t="s">
        <v>154</v>
      </c>
      <c r="I128" s="17">
        <v>4.098</v>
      </c>
      <c r="J128" s="17">
        <v>7765.25</v>
      </c>
      <c r="K128" s="10"/>
      <c r="L128" s="17">
        <v>31821.99</v>
      </c>
    </row>
    <row r="129" ht="228" customHeight="1" spans="1:12">
      <c r="A129" s="18">
        <v>104</v>
      </c>
      <c r="B129" s="19">
        <v>10607003003</v>
      </c>
      <c r="C129" s="7"/>
      <c r="D129" s="7" t="s">
        <v>224</v>
      </c>
      <c r="E129" s="7" t="s">
        <v>225</v>
      </c>
      <c r="F129" s="7"/>
      <c r="G129" s="7"/>
      <c r="H129" s="6" t="s">
        <v>154</v>
      </c>
      <c r="I129" s="17">
        <v>146.074</v>
      </c>
      <c r="J129" s="17">
        <v>7816.33</v>
      </c>
      <c r="K129" s="10"/>
      <c r="L129" s="17">
        <v>1141762.59</v>
      </c>
    </row>
    <row r="130" ht="23" customHeight="1" spans="1:12">
      <c r="A130" s="18">
        <v>105</v>
      </c>
      <c r="B130" s="19">
        <v>10506025001</v>
      </c>
      <c r="C130" s="7"/>
      <c r="D130" s="7" t="s">
        <v>226</v>
      </c>
      <c r="E130" s="7" t="s">
        <v>227</v>
      </c>
      <c r="F130" s="7"/>
      <c r="G130" s="7"/>
      <c r="H130" s="6" t="s">
        <v>154</v>
      </c>
      <c r="I130" s="17">
        <v>1.996</v>
      </c>
      <c r="J130" s="17">
        <v>7331.7</v>
      </c>
      <c r="K130" s="10"/>
      <c r="L130" s="17">
        <v>14634.07</v>
      </c>
    </row>
    <row r="131" ht="95" customHeight="1" spans="1:12">
      <c r="A131" s="18">
        <v>106</v>
      </c>
      <c r="B131" s="19">
        <v>11502001002</v>
      </c>
      <c r="C131" s="7"/>
      <c r="D131" s="7" t="s">
        <v>228</v>
      </c>
      <c r="E131" s="7" t="s">
        <v>229</v>
      </c>
      <c r="F131" s="7"/>
      <c r="G131" s="7"/>
      <c r="H131" s="6" t="s">
        <v>230</v>
      </c>
      <c r="I131" s="17">
        <v>268.8</v>
      </c>
      <c r="J131" s="17">
        <v>9.05</v>
      </c>
      <c r="K131" s="10"/>
      <c r="L131" s="17">
        <v>2432.64</v>
      </c>
    </row>
    <row r="132" ht="95" customHeight="1" spans="1:12">
      <c r="A132" s="18">
        <v>107</v>
      </c>
      <c r="B132" s="19">
        <v>10605003007</v>
      </c>
      <c r="C132" s="7"/>
      <c r="D132" s="7" t="s">
        <v>231</v>
      </c>
      <c r="E132" s="7" t="s">
        <v>232</v>
      </c>
      <c r="F132" s="7"/>
      <c r="G132" s="7"/>
      <c r="H132" s="6" t="s">
        <v>93</v>
      </c>
      <c r="I132" s="17">
        <v>96.64</v>
      </c>
      <c r="J132" s="17">
        <v>96.18</v>
      </c>
      <c r="K132" s="10"/>
      <c r="L132" s="17">
        <v>9294.84</v>
      </c>
    </row>
    <row r="133" ht="95" customHeight="1" spans="1:12">
      <c r="A133" s="18">
        <v>108</v>
      </c>
      <c r="B133" s="19">
        <v>10605003008</v>
      </c>
      <c r="C133" s="7"/>
      <c r="D133" s="7" t="s">
        <v>233</v>
      </c>
      <c r="E133" s="7" t="s">
        <v>234</v>
      </c>
      <c r="F133" s="7"/>
      <c r="G133" s="7"/>
      <c r="H133" s="6" t="s">
        <v>93</v>
      </c>
      <c r="I133" s="17">
        <v>273</v>
      </c>
      <c r="J133" s="17">
        <v>162</v>
      </c>
      <c r="K133" s="10"/>
      <c r="L133" s="17">
        <v>44226</v>
      </c>
    </row>
    <row r="134" ht="183" customHeight="1" spans="1:12">
      <c r="A134" s="18">
        <v>109</v>
      </c>
      <c r="B134" s="19">
        <v>10901007003</v>
      </c>
      <c r="C134" s="7"/>
      <c r="D134" s="7" t="s">
        <v>235</v>
      </c>
      <c r="E134" s="7" t="s">
        <v>236</v>
      </c>
      <c r="F134" s="7"/>
      <c r="G134" s="7"/>
      <c r="H134" s="6" t="s">
        <v>230</v>
      </c>
      <c r="I134" s="17">
        <v>126.45</v>
      </c>
      <c r="J134" s="17">
        <v>461.05</v>
      </c>
      <c r="K134" s="10"/>
      <c r="L134" s="17">
        <v>58299.77</v>
      </c>
    </row>
    <row r="135" ht="183" customHeight="1" spans="1:12">
      <c r="A135" s="18">
        <v>110</v>
      </c>
      <c r="B135" s="19">
        <v>10901007004</v>
      </c>
      <c r="C135" s="7"/>
      <c r="D135" s="7" t="s">
        <v>237</v>
      </c>
      <c r="E135" s="7" t="s">
        <v>238</v>
      </c>
      <c r="F135" s="7"/>
      <c r="G135" s="7"/>
      <c r="H135" s="6" t="s">
        <v>230</v>
      </c>
      <c r="I135" s="17">
        <v>530.7</v>
      </c>
      <c r="J135" s="17">
        <v>1419.42</v>
      </c>
      <c r="K135" s="10"/>
      <c r="L135" s="17">
        <v>753286.19</v>
      </c>
    </row>
    <row r="136" ht="317" customHeight="1" spans="1:12">
      <c r="A136" s="18">
        <v>111</v>
      </c>
      <c r="B136" s="19">
        <v>11402003007</v>
      </c>
      <c r="C136" s="7"/>
      <c r="D136" s="7" t="s">
        <v>239</v>
      </c>
      <c r="E136" s="7" t="s">
        <v>240</v>
      </c>
      <c r="F136" s="7"/>
      <c r="G136" s="7"/>
      <c r="H136" s="6" t="s">
        <v>93</v>
      </c>
      <c r="I136" s="17">
        <v>688.79</v>
      </c>
      <c r="J136" s="17">
        <v>42.91</v>
      </c>
      <c r="K136" s="10"/>
      <c r="L136" s="17">
        <v>29555.98</v>
      </c>
    </row>
    <row r="137" ht="228" customHeight="1" spans="1:12">
      <c r="A137" s="18">
        <v>112</v>
      </c>
      <c r="B137" s="19">
        <v>11402003008</v>
      </c>
      <c r="C137" s="7"/>
      <c r="D137" s="7" t="s">
        <v>241</v>
      </c>
      <c r="E137" s="7" t="s">
        <v>242</v>
      </c>
      <c r="F137" s="7"/>
      <c r="G137" s="7"/>
      <c r="H137" s="6" t="s">
        <v>93</v>
      </c>
      <c r="I137" s="17">
        <v>4072.5</v>
      </c>
      <c r="J137" s="17">
        <v>16.23</v>
      </c>
      <c r="K137" s="10"/>
      <c r="L137" s="17">
        <v>66096.68</v>
      </c>
    </row>
    <row r="138" ht="125" customHeight="1" spans="1:12">
      <c r="A138" s="18">
        <v>113</v>
      </c>
      <c r="B138" s="19">
        <v>10605003009</v>
      </c>
      <c r="C138" s="7"/>
      <c r="D138" s="7" t="s">
        <v>243</v>
      </c>
      <c r="E138" s="7" t="s">
        <v>244</v>
      </c>
      <c r="F138" s="7"/>
      <c r="G138" s="7"/>
      <c r="H138" s="6" t="s">
        <v>93</v>
      </c>
      <c r="I138" s="17">
        <v>1858.06</v>
      </c>
      <c r="J138" s="17">
        <v>74.4</v>
      </c>
      <c r="K138" s="10"/>
      <c r="L138" s="17">
        <v>138239.66</v>
      </c>
    </row>
    <row r="139" ht="125" customHeight="1" spans="1:12">
      <c r="A139" s="18">
        <v>114</v>
      </c>
      <c r="B139" s="19">
        <v>10605003010</v>
      </c>
      <c r="C139" s="7"/>
      <c r="D139" s="7" t="s">
        <v>245</v>
      </c>
      <c r="E139" s="7" t="s">
        <v>246</v>
      </c>
      <c r="F139" s="7"/>
      <c r="G139" s="7"/>
      <c r="H139" s="6" t="s">
        <v>93</v>
      </c>
      <c r="I139" s="17">
        <v>1858.06</v>
      </c>
      <c r="J139" s="17">
        <v>67.69</v>
      </c>
      <c r="K139" s="10"/>
      <c r="L139" s="17">
        <v>125772.08</v>
      </c>
    </row>
    <row r="140" ht="125" customHeight="1" spans="1:12">
      <c r="A140" s="18">
        <v>115</v>
      </c>
      <c r="B140" s="19">
        <v>11402003009</v>
      </c>
      <c r="C140" s="7"/>
      <c r="D140" s="7" t="s">
        <v>247</v>
      </c>
      <c r="E140" s="7" t="s">
        <v>248</v>
      </c>
      <c r="F140" s="7"/>
      <c r="G140" s="7"/>
      <c r="H140" s="6" t="s">
        <v>93</v>
      </c>
      <c r="I140" s="17">
        <v>16960.32</v>
      </c>
      <c r="J140" s="17">
        <v>25.82</v>
      </c>
      <c r="K140" s="10"/>
      <c r="L140" s="17">
        <v>437915.46</v>
      </c>
    </row>
    <row r="141" ht="125" customHeight="1" spans="1:12">
      <c r="A141" s="18">
        <v>116</v>
      </c>
      <c r="B141" s="19">
        <v>11402003010</v>
      </c>
      <c r="C141" s="7"/>
      <c r="D141" s="7" t="s">
        <v>247</v>
      </c>
      <c r="E141" s="7" t="s">
        <v>249</v>
      </c>
      <c r="F141" s="7"/>
      <c r="G141" s="7"/>
      <c r="H141" s="6" t="s">
        <v>93</v>
      </c>
      <c r="I141" s="17">
        <v>2477.79</v>
      </c>
      <c r="J141" s="17">
        <v>57.34</v>
      </c>
      <c r="K141" s="10"/>
      <c r="L141" s="17">
        <v>142076.48</v>
      </c>
    </row>
    <row r="142" ht="125" customHeight="1" spans="1:12">
      <c r="A142" s="18">
        <v>117</v>
      </c>
      <c r="B142" s="19">
        <v>11402003011</v>
      </c>
      <c r="C142" s="7"/>
      <c r="D142" s="7" t="s">
        <v>247</v>
      </c>
      <c r="E142" s="7" t="s">
        <v>250</v>
      </c>
      <c r="F142" s="7"/>
      <c r="G142" s="7"/>
      <c r="H142" s="6" t="s">
        <v>93</v>
      </c>
      <c r="I142" s="17">
        <v>47.76</v>
      </c>
      <c r="J142" s="17">
        <v>85.64</v>
      </c>
      <c r="K142" s="10"/>
      <c r="L142" s="17">
        <v>4090.17</v>
      </c>
    </row>
    <row r="143" ht="125" customHeight="1" spans="1:12">
      <c r="A143" s="18">
        <v>118</v>
      </c>
      <c r="B143" s="19">
        <v>10301003002</v>
      </c>
      <c r="C143" s="7"/>
      <c r="D143" s="7" t="s">
        <v>251</v>
      </c>
      <c r="E143" s="7" t="s">
        <v>252</v>
      </c>
      <c r="F143" s="7"/>
      <c r="G143" s="7"/>
      <c r="H143" s="6" t="s">
        <v>79</v>
      </c>
      <c r="I143" s="17">
        <v>0.62</v>
      </c>
      <c r="J143" s="17">
        <v>893.68</v>
      </c>
      <c r="K143" s="10"/>
      <c r="L143" s="17">
        <v>554.08</v>
      </c>
    </row>
    <row r="144" ht="80" customHeight="1" spans="1:12">
      <c r="A144" s="18">
        <v>119</v>
      </c>
      <c r="B144" s="19">
        <v>10506024010</v>
      </c>
      <c r="C144" s="7"/>
      <c r="D144" s="7" t="s">
        <v>253</v>
      </c>
      <c r="E144" s="7" t="s">
        <v>254</v>
      </c>
      <c r="F144" s="7"/>
      <c r="G144" s="7"/>
      <c r="H144" s="6" t="s">
        <v>206</v>
      </c>
      <c r="I144" s="17">
        <v>1110</v>
      </c>
      <c r="J144" s="17">
        <v>6.6</v>
      </c>
      <c r="K144" s="10"/>
      <c r="L144" s="17">
        <v>7326</v>
      </c>
    </row>
    <row r="145" ht="80" customHeight="1" spans="1:12">
      <c r="A145" s="18">
        <v>120</v>
      </c>
      <c r="B145" s="19">
        <v>10506024011</v>
      </c>
      <c r="C145" s="7"/>
      <c r="D145" s="7" t="s">
        <v>253</v>
      </c>
      <c r="E145" s="7" t="s">
        <v>255</v>
      </c>
      <c r="F145" s="7"/>
      <c r="G145" s="7"/>
      <c r="H145" s="6" t="s">
        <v>206</v>
      </c>
      <c r="I145" s="17">
        <v>1200</v>
      </c>
      <c r="J145" s="17">
        <v>8.7</v>
      </c>
      <c r="K145" s="10"/>
      <c r="L145" s="17">
        <v>10440</v>
      </c>
    </row>
    <row r="146" ht="80" customHeight="1" spans="1:12">
      <c r="A146" s="18">
        <v>121</v>
      </c>
      <c r="B146" s="19">
        <v>10506024012</v>
      </c>
      <c r="C146" s="7"/>
      <c r="D146" s="7" t="s">
        <v>253</v>
      </c>
      <c r="E146" s="7" t="s">
        <v>256</v>
      </c>
      <c r="F146" s="7"/>
      <c r="G146" s="7"/>
      <c r="H146" s="6" t="s">
        <v>206</v>
      </c>
      <c r="I146" s="17">
        <v>288</v>
      </c>
      <c r="J146" s="17">
        <v>10.68</v>
      </c>
      <c r="K146" s="10"/>
      <c r="L146" s="17">
        <v>3075.84</v>
      </c>
    </row>
    <row r="147" ht="23" customHeight="1" spans="1:12">
      <c r="A147" s="6" t="s">
        <v>53</v>
      </c>
      <c r="B147" s="7" t="s">
        <v>53</v>
      </c>
      <c r="C147" s="7"/>
      <c r="D147" s="7" t="s">
        <v>257</v>
      </c>
      <c r="E147" s="7" t="s">
        <v>53</v>
      </c>
      <c r="F147" s="7"/>
      <c r="G147" s="7"/>
      <c r="H147" s="6" t="s">
        <v>53</v>
      </c>
      <c r="I147" s="16" t="s">
        <v>53</v>
      </c>
      <c r="J147" s="10" t="s">
        <v>53</v>
      </c>
      <c r="K147" s="10"/>
      <c r="L147" s="17">
        <v>4074494.62</v>
      </c>
    </row>
    <row r="148" ht="213" customHeight="1" spans="1:12">
      <c r="A148" s="18">
        <v>122</v>
      </c>
      <c r="B148" s="19">
        <v>10603001004</v>
      </c>
      <c r="C148" s="7"/>
      <c r="D148" s="7" t="s">
        <v>214</v>
      </c>
      <c r="E148" s="7" t="s">
        <v>258</v>
      </c>
      <c r="F148" s="7"/>
      <c r="G148" s="7"/>
      <c r="H148" s="6" t="s">
        <v>154</v>
      </c>
      <c r="I148" s="17">
        <v>110.149</v>
      </c>
      <c r="J148" s="17">
        <v>7273</v>
      </c>
      <c r="K148" s="10"/>
      <c r="L148" s="17">
        <v>801113.68</v>
      </c>
    </row>
    <row r="149" ht="198" customHeight="1" spans="1:12">
      <c r="A149" s="18">
        <v>123</v>
      </c>
      <c r="B149" s="19">
        <v>10607002007</v>
      </c>
      <c r="C149" s="7"/>
      <c r="D149" s="7" t="s">
        <v>220</v>
      </c>
      <c r="E149" s="7" t="s">
        <v>259</v>
      </c>
      <c r="F149" s="7"/>
      <c r="G149" s="7"/>
      <c r="H149" s="6" t="s">
        <v>154</v>
      </c>
      <c r="I149" s="17">
        <v>7.546</v>
      </c>
      <c r="J149" s="17">
        <v>7663.39</v>
      </c>
      <c r="K149" s="10"/>
      <c r="L149" s="17">
        <v>57827.94</v>
      </c>
    </row>
    <row r="150" ht="228" customHeight="1" spans="1:12">
      <c r="A150" s="18">
        <v>124</v>
      </c>
      <c r="B150" s="19">
        <v>10607003004</v>
      </c>
      <c r="C150" s="7"/>
      <c r="D150" s="7" t="s">
        <v>224</v>
      </c>
      <c r="E150" s="7" t="s">
        <v>260</v>
      </c>
      <c r="F150" s="7"/>
      <c r="G150" s="7"/>
      <c r="H150" s="6" t="s">
        <v>154</v>
      </c>
      <c r="I150" s="17">
        <v>231.554</v>
      </c>
      <c r="J150" s="17">
        <v>7816.33</v>
      </c>
      <c r="K150" s="10"/>
      <c r="L150" s="17">
        <v>1809902.48</v>
      </c>
    </row>
    <row r="151" ht="23" customHeight="1" spans="1:12">
      <c r="A151" s="18">
        <v>125</v>
      </c>
      <c r="B151" s="19">
        <v>10506025002</v>
      </c>
      <c r="C151" s="7"/>
      <c r="D151" s="7" t="s">
        <v>226</v>
      </c>
      <c r="E151" s="7" t="s">
        <v>227</v>
      </c>
      <c r="F151" s="7"/>
      <c r="G151" s="7"/>
      <c r="H151" s="6" t="s">
        <v>154</v>
      </c>
      <c r="I151" s="17">
        <v>1.778</v>
      </c>
      <c r="J151" s="17">
        <v>7331.71</v>
      </c>
      <c r="K151" s="10"/>
      <c r="L151" s="17">
        <v>13035.78</v>
      </c>
    </row>
    <row r="152" ht="139" customHeight="1" spans="1:12">
      <c r="A152" s="18">
        <v>126</v>
      </c>
      <c r="B152" s="19">
        <v>11206001001</v>
      </c>
      <c r="C152" s="7"/>
      <c r="D152" s="7" t="s">
        <v>261</v>
      </c>
      <c r="E152" s="7" t="s">
        <v>262</v>
      </c>
      <c r="F152" s="7"/>
      <c r="G152" s="7"/>
      <c r="H152" s="6" t="s">
        <v>154</v>
      </c>
      <c r="I152" s="17">
        <v>19.51</v>
      </c>
      <c r="J152" s="17">
        <v>36778.66</v>
      </c>
      <c r="K152" s="10"/>
      <c r="L152" s="17">
        <v>717551.66</v>
      </c>
    </row>
    <row r="153" ht="125" customHeight="1" spans="1:12">
      <c r="A153" s="18">
        <v>127</v>
      </c>
      <c r="B153" s="19">
        <v>11402003012</v>
      </c>
      <c r="C153" s="7"/>
      <c r="D153" s="7" t="s">
        <v>247</v>
      </c>
      <c r="E153" s="7" t="s">
        <v>248</v>
      </c>
      <c r="F153" s="7"/>
      <c r="G153" s="7"/>
      <c r="H153" s="6" t="s">
        <v>93</v>
      </c>
      <c r="I153" s="17">
        <v>18375.99</v>
      </c>
      <c r="J153" s="17">
        <v>25.82</v>
      </c>
      <c r="K153" s="10"/>
      <c r="L153" s="17">
        <v>474468.06</v>
      </c>
    </row>
    <row r="154" ht="125" customHeight="1" spans="1:12">
      <c r="A154" s="18">
        <v>128</v>
      </c>
      <c r="B154" s="19">
        <v>11402003013</v>
      </c>
      <c r="C154" s="7"/>
      <c r="D154" s="7" t="s">
        <v>247</v>
      </c>
      <c r="E154" s="7" t="s">
        <v>250</v>
      </c>
      <c r="F154" s="7"/>
      <c r="G154" s="7"/>
      <c r="H154" s="6" t="s">
        <v>93</v>
      </c>
      <c r="I154" s="17">
        <v>1652.05</v>
      </c>
      <c r="J154" s="17">
        <v>85.64</v>
      </c>
      <c r="K154" s="10"/>
      <c r="L154" s="17">
        <v>141481.56</v>
      </c>
    </row>
    <row r="155" ht="125" customHeight="1" spans="1:12">
      <c r="A155" s="18">
        <v>129</v>
      </c>
      <c r="B155" s="19">
        <v>10506024013</v>
      </c>
      <c r="C155" s="7"/>
      <c r="D155" s="7" t="s">
        <v>263</v>
      </c>
      <c r="E155" s="7" t="s">
        <v>264</v>
      </c>
      <c r="F155" s="7"/>
      <c r="G155" s="7"/>
      <c r="H155" s="6" t="s">
        <v>206</v>
      </c>
      <c r="I155" s="17">
        <v>454</v>
      </c>
      <c r="J155" s="17">
        <v>16.08</v>
      </c>
      <c r="K155" s="10"/>
      <c r="L155" s="17">
        <v>7300.32</v>
      </c>
    </row>
    <row r="156" ht="80" customHeight="1" spans="1:12">
      <c r="A156" s="18">
        <v>130</v>
      </c>
      <c r="B156" s="19">
        <v>10506024014</v>
      </c>
      <c r="C156" s="7"/>
      <c r="D156" s="7" t="s">
        <v>253</v>
      </c>
      <c r="E156" s="7" t="s">
        <v>265</v>
      </c>
      <c r="F156" s="7"/>
      <c r="G156" s="7"/>
      <c r="H156" s="6" t="s">
        <v>206</v>
      </c>
      <c r="I156" s="17">
        <v>8122</v>
      </c>
      <c r="J156" s="17">
        <v>6.29</v>
      </c>
      <c r="K156" s="10"/>
      <c r="L156" s="17">
        <v>51087.38</v>
      </c>
    </row>
    <row r="157" ht="80" customHeight="1" spans="1:12">
      <c r="A157" s="18">
        <v>131</v>
      </c>
      <c r="B157" s="19">
        <v>10506024015</v>
      </c>
      <c r="C157" s="7"/>
      <c r="D157" s="7" t="s">
        <v>253</v>
      </c>
      <c r="E157" s="7" t="s">
        <v>266</v>
      </c>
      <c r="F157" s="7"/>
      <c r="G157" s="7"/>
      <c r="H157" s="6" t="s">
        <v>206</v>
      </c>
      <c r="I157" s="17">
        <v>96</v>
      </c>
      <c r="J157" s="17">
        <v>7.56</v>
      </c>
      <c r="K157" s="10"/>
      <c r="L157" s="17">
        <v>725.76</v>
      </c>
    </row>
    <row r="158" ht="23" customHeight="1" spans="1:12">
      <c r="A158" s="6" t="s">
        <v>53</v>
      </c>
      <c r="B158" s="7" t="s">
        <v>53</v>
      </c>
      <c r="C158" s="7"/>
      <c r="D158" s="7" t="s">
        <v>25</v>
      </c>
      <c r="E158" s="7" t="s">
        <v>53</v>
      </c>
      <c r="F158" s="7"/>
      <c r="G158" s="7"/>
      <c r="H158" s="6" t="s">
        <v>53</v>
      </c>
      <c r="I158" s="16" t="s">
        <v>53</v>
      </c>
      <c r="J158" s="10" t="s">
        <v>53</v>
      </c>
      <c r="K158" s="10"/>
      <c r="L158" s="17">
        <v>3619110.75</v>
      </c>
    </row>
    <row r="159" ht="51" customHeight="1" spans="1:12">
      <c r="A159" s="6" t="s">
        <v>53</v>
      </c>
      <c r="B159" s="7" t="s">
        <v>53</v>
      </c>
      <c r="C159" s="7"/>
      <c r="D159" s="7" t="s">
        <v>267</v>
      </c>
      <c r="E159" s="7" t="s">
        <v>53</v>
      </c>
      <c r="F159" s="7"/>
      <c r="G159" s="7"/>
      <c r="H159" s="6" t="s">
        <v>53</v>
      </c>
      <c r="I159" s="16" t="s">
        <v>53</v>
      </c>
      <c r="J159" s="10" t="s">
        <v>53</v>
      </c>
      <c r="K159" s="10"/>
      <c r="L159" s="17">
        <v>1190040.03</v>
      </c>
    </row>
    <row r="160" ht="332" customHeight="1" spans="1:12">
      <c r="A160" s="18">
        <v>132</v>
      </c>
      <c r="B160" s="19">
        <v>10902002003</v>
      </c>
      <c r="C160" s="7"/>
      <c r="D160" s="7" t="s">
        <v>268</v>
      </c>
      <c r="E160" s="7" t="s">
        <v>269</v>
      </c>
      <c r="F160" s="7"/>
      <c r="G160" s="7"/>
      <c r="H160" s="6" t="s">
        <v>93</v>
      </c>
      <c r="I160" s="17">
        <v>4474.683</v>
      </c>
      <c r="J160" s="17">
        <v>37.77</v>
      </c>
      <c r="K160" s="10"/>
      <c r="L160" s="17">
        <v>169008.78</v>
      </c>
    </row>
    <row r="161" ht="169" customHeight="1" spans="1:12">
      <c r="A161" s="18">
        <v>133</v>
      </c>
      <c r="B161" s="19">
        <v>10902001002</v>
      </c>
      <c r="C161" s="7"/>
      <c r="D161" s="7" t="s">
        <v>270</v>
      </c>
      <c r="E161" s="7" t="s">
        <v>271</v>
      </c>
      <c r="F161" s="7"/>
      <c r="G161" s="7"/>
      <c r="H161" s="6" t="s">
        <v>93</v>
      </c>
      <c r="I161" s="17">
        <v>4474.683</v>
      </c>
      <c r="J161" s="17">
        <v>56.06</v>
      </c>
      <c r="K161" s="10"/>
      <c r="L161" s="17">
        <v>250850.73</v>
      </c>
    </row>
    <row r="162" ht="169" customHeight="1" spans="1:12">
      <c r="A162" s="18">
        <v>134</v>
      </c>
      <c r="B162" s="19">
        <v>10902001003</v>
      </c>
      <c r="C162" s="7"/>
      <c r="D162" s="7" t="s">
        <v>270</v>
      </c>
      <c r="E162" s="7" t="s">
        <v>272</v>
      </c>
      <c r="F162" s="7"/>
      <c r="G162" s="7"/>
      <c r="H162" s="6" t="s">
        <v>93</v>
      </c>
      <c r="I162" s="17">
        <v>4474.683</v>
      </c>
      <c r="J162" s="17">
        <v>36.16</v>
      </c>
      <c r="K162" s="10"/>
      <c r="L162" s="17">
        <v>161804.54</v>
      </c>
    </row>
    <row r="163" ht="198" customHeight="1" spans="1:12">
      <c r="A163" s="18">
        <v>135</v>
      </c>
      <c r="B163" s="19">
        <v>11001001002</v>
      </c>
      <c r="C163" s="7"/>
      <c r="D163" s="7" t="s">
        <v>273</v>
      </c>
      <c r="E163" s="7" t="s">
        <v>274</v>
      </c>
      <c r="F163" s="7"/>
      <c r="G163" s="7"/>
      <c r="H163" s="6" t="s">
        <v>93</v>
      </c>
      <c r="I163" s="17">
        <v>4326.383</v>
      </c>
      <c r="J163" s="17">
        <v>44.28</v>
      </c>
      <c r="K163" s="10"/>
      <c r="L163" s="17">
        <v>191572.24</v>
      </c>
    </row>
    <row r="164" ht="154" customHeight="1" spans="1:12">
      <c r="A164" s="18">
        <v>136</v>
      </c>
      <c r="B164" s="19">
        <v>11003001002</v>
      </c>
      <c r="C164" s="7"/>
      <c r="D164" s="7" t="s">
        <v>275</v>
      </c>
      <c r="E164" s="7" t="s">
        <v>276</v>
      </c>
      <c r="F164" s="7"/>
      <c r="G164" s="7"/>
      <c r="H164" s="6" t="s">
        <v>93</v>
      </c>
      <c r="I164" s="17">
        <v>4326.383</v>
      </c>
      <c r="J164" s="17">
        <v>9.48</v>
      </c>
      <c r="K164" s="10"/>
      <c r="L164" s="17">
        <v>41014.11</v>
      </c>
    </row>
    <row r="165" ht="302" customHeight="1" spans="1:12">
      <c r="A165" s="18">
        <v>137</v>
      </c>
      <c r="B165" s="19">
        <v>10902004002</v>
      </c>
      <c r="C165" s="7"/>
      <c r="D165" s="7" t="s">
        <v>277</v>
      </c>
      <c r="E165" s="7" t="s">
        <v>278</v>
      </c>
      <c r="F165" s="7"/>
      <c r="G165" s="7"/>
      <c r="H165" s="6" t="s">
        <v>93</v>
      </c>
      <c r="I165" s="17">
        <v>4326.383</v>
      </c>
      <c r="J165" s="17">
        <v>67.25</v>
      </c>
      <c r="K165" s="10"/>
      <c r="L165" s="17">
        <v>290949.26</v>
      </c>
    </row>
    <row r="166" ht="154" customHeight="1" spans="1:12">
      <c r="A166" s="18">
        <v>138</v>
      </c>
      <c r="B166" s="19">
        <v>10501001021</v>
      </c>
      <c r="C166" s="7"/>
      <c r="D166" s="7" t="s">
        <v>279</v>
      </c>
      <c r="E166" s="7" t="s">
        <v>280</v>
      </c>
      <c r="F166" s="7"/>
      <c r="G166" s="7"/>
      <c r="H166" s="6" t="s">
        <v>93</v>
      </c>
      <c r="I166" s="17">
        <v>4326.383</v>
      </c>
      <c r="J166" s="17">
        <v>19.61</v>
      </c>
      <c r="K166" s="10"/>
      <c r="L166" s="17">
        <v>84840.37</v>
      </c>
    </row>
    <row r="167" ht="23" customHeight="1" spans="1:12">
      <c r="A167" s="6" t="s">
        <v>53</v>
      </c>
      <c r="B167" s="7" t="s">
        <v>53</v>
      </c>
      <c r="C167" s="7"/>
      <c r="D167" s="7" t="s">
        <v>281</v>
      </c>
      <c r="E167" s="7" t="s">
        <v>53</v>
      </c>
      <c r="F167" s="7"/>
      <c r="G167" s="7"/>
      <c r="H167" s="6" t="s">
        <v>53</v>
      </c>
      <c r="I167" s="16" t="s">
        <v>53</v>
      </c>
      <c r="J167" s="10" t="s">
        <v>53</v>
      </c>
      <c r="K167" s="10"/>
      <c r="L167" s="17">
        <v>2429070.72</v>
      </c>
    </row>
    <row r="168" ht="288" customHeight="1" spans="1:12">
      <c r="A168" s="18">
        <v>139</v>
      </c>
      <c r="B168" s="19">
        <v>10605003011</v>
      </c>
      <c r="C168" s="7"/>
      <c r="D168" s="7" t="s">
        <v>282</v>
      </c>
      <c r="E168" s="7" t="s">
        <v>283</v>
      </c>
      <c r="F168" s="7"/>
      <c r="G168" s="7"/>
      <c r="H168" s="6" t="s">
        <v>93</v>
      </c>
      <c r="I168" s="17">
        <v>8543.74</v>
      </c>
      <c r="J168" s="17">
        <v>256.81</v>
      </c>
      <c r="K168" s="10"/>
      <c r="L168" s="17">
        <v>2194117.87</v>
      </c>
    </row>
    <row r="169" ht="154" customHeight="1" spans="1:12">
      <c r="A169" s="18">
        <v>140</v>
      </c>
      <c r="B169" s="19">
        <v>10506001117</v>
      </c>
      <c r="C169" s="7"/>
      <c r="D169" s="7" t="s">
        <v>284</v>
      </c>
      <c r="E169" s="7" t="s">
        <v>285</v>
      </c>
      <c r="F169" s="7"/>
      <c r="G169" s="7"/>
      <c r="H169" s="6" t="s">
        <v>230</v>
      </c>
      <c r="I169" s="17">
        <v>85437.4</v>
      </c>
      <c r="J169" s="17">
        <v>2.75</v>
      </c>
      <c r="K169" s="10"/>
      <c r="L169" s="17">
        <v>234952.85</v>
      </c>
    </row>
    <row r="170" ht="23" customHeight="1" spans="1:12">
      <c r="A170" s="6" t="s">
        <v>53</v>
      </c>
      <c r="B170" s="7" t="s">
        <v>53</v>
      </c>
      <c r="C170" s="7"/>
      <c r="D170" s="7" t="s">
        <v>28</v>
      </c>
      <c r="E170" s="7" t="s">
        <v>53</v>
      </c>
      <c r="F170" s="7"/>
      <c r="G170" s="7"/>
      <c r="H170" s="6" t="s">
        <v>53</v>
      </c>
      <c r="I170" s="16" t="s">
        <v>53</v>
      </c>
      <c r="J170" s="10" t="s">
        <v>53</v>
      </c>
      <c r="K170" s="10"/>
      <c r="L170" s="17">
        <v>3571311.73</v>
      </c>
    </row>
    <row r="171" ht="66" customHeight="1" spans="1:12">
      <c r="A171" s="6" t="s">
        <v>53</v>
      </c>
      <c r="B171" s="7" t="s">
        <v>53</v>
      </c>
      <c r="C171" s="7"/>
      <c r="D171" s="7" t="s">
        <v>286</v>
      </c>
      <c r="E171" s="7" t="s">
        <v>53</v>
      </c>
      <c r="F171" s="7"/>
      <c r="G171" s="7"/>
      <c r="H171" s="6" t="s">
        <v>53</v>
      </c>
      <c r="I171" s="16" t="s">
        <v>53</v>
      </c>
      <c r="J171" s="10" t="s">
        <v>53</v>
      </c>
      <c r="K171" s="10"/>
      <c r="L171" s="17">
        <v>131050.04</v>
      </c>
    </row>
    <row r="172" ht="154" customHeight="1" spans="1:12">
      <c r="A172" s="18">
        <v>141</v>
      </c>
      <c r="B172" s="19">
        <v>10501001022</v>
      </c>
      <c r="C172" s="7"/>
      <c r="D172" s="7" t="s">
        <v>287</v>
      </c>
      <c r="E172" s="7" t="s">
        <v>288</v>
      </c>
      <c r="F172" s="7"/>
      <c r="G172" s="7"/>
      <c r="H172" s="6" t="s">
        <v>93</v>
      </c>
      <c r="I172" s="17">
        <v>460.96</v>
      </c>
      <c r="J172" s="17">
        <v>47.18</v>
      </c>
      <c r="K172" s="10"/>
      <c r="L172" s="17">
        <v>21748.09</v>
      </c>
    </row>
    <row r="173" ht="273" customHeight="1" spans="1:12">
      <c r="A173" s="18">
        <v>142</v>
      </c>
      <c r="B173" s="19">
        <v>11102003012</v>
      </c>
      <c r="C173" s="7"/>
      <c r="D173" s="7" t="s">
        <v>289</v>
      </c>
      <c r="E173" s="7" t="s">
        <v>290</v>
      </c>
      <c r="F173" s="7"/>
      <c r="G173" s="7"/>
      <c r="H173" s="6" t="s">
        <v>93</v>
      </c>
      <c r="I173" s="17">
        <v>360.88</v>
      </c>
      <c r="J173" s="17">
        <v>93.52</v>
      </c>
      <c r="K173" s="10"/>
      <c r="L173" s="17">
        <v>33749.5</v>
      </c>
    </row>
    <row r="174" ht="273" customHeight="1" spans="1:12">
      <c r="A174" s="18">
        <v>143</v>
      </c>
      <c r="B174" s="19">
        <v>11102003013</v>
      </c>
      <c r="C174" s="7"/>
      <c r="D174" s="7" t="s">
        <v>291</v>
      </c>
      <c r="E174" s="7" t="s">
        <v>292</v>
      </c>
      <c r="F174" s="7"/>
      <c r="G174" s="7"/>
      <c r="H174" s="6" t="s">
        <v>93</v>
      </c>
      <c r="I174" s="17">
        <v>100.08</v>
      </c>
      <c r="J174" s="17">
        <v>91.37</v>
      </c>
      <c r="K174" s="10"/>
      <c r="L174" s="17">
        <v>9144.31</v>
      </c>
    </row>
    <row r="175" ht="273" customHeight="1" spans="1:12">
      <c r="A175" s="18">
        <v>144</v>
      </c>
      <c r="B175" s="19">
        <v>11106003003</v>
      </c>
      <c r="C175" s="7"/>
      <c r="D175" s="7" t="s">
        <v>293</v>
      </c>
      <c r="E175" s="7" t="s">
        <v>292</v>
      </c>
      <c r="F175" s="7"/>
      <c r="G175" s="7"/>
      <c r="H175" s="6" t="s">
        <v>93</v>
      </c>
      <c r="I175" s="17">
        <v>314.135</v>
      </c>
      <c r="J175" s="17">
        <v>211.4</v>
      </c>
      <c r="K175" s="10"/>
      <c r="L175" s="17">
        <v>66408.14</v>
      </c>
    </row>
    <row r="176" ht="36" customHeight="1" spans="1:12">
      <c r="A176" s="6" t="s">
        <v>53</v>
      </c>
      <c r="B176" s="7" t="s">
        <v>53</v>
      </c>
      <c r="C176" s="7"/>
      <c r="D176" s="7" t="s">
        <v>294</v>
      </c>
      <c r="E176" s="7" t="s">
        <v>53</v>
      </c>
      <c r="F176" s="7"/>
      <c r="G176" s="7"/>
      <c r="H176" s="6" t="s">
        <v>53</v>
      </c>
      <c r="I176" s="16" t="s">
        <v>53</v>
      </c>
      <c r="J176" s="10" t="s">
        <v>53</v>
      </c>
      <c r="K176" s="10"/>
      <c r="L176" s="17">
        <v>78746.27</v>
      </c>
    </row>
    <row r="177" ht="183" customHeight="1" spans="1:12">
      <c r="A177" s="18">
        <v>145</v>
      </c>
      <c r="B177" s="19">
        <v>11101002010</v>
      </c>
      <c r="C177" s="7"/>
      <c r="D177" s="7" t="s">
        <v>295</v>
      </c>
      <c r="E177" s="7" t="s">
        <v>296</v>
      </c>
      <c r="F177" s="7"/>
      <c r="G177" s="7"/>
      <c r="H177" s="6" t="s">
        <v>93</v>
      </c>
      <c r="I177" s="17">
        <v>217.76</v>
      </c>
      <c r="J177" s="17">
        <v>34.21</v>
      </c>
      <c r="K177" s="10"/>
      <c r="L177" s="17">
        <v>7449.57</v>
      </c>
    </row>
    <row r="178" ht="273" customHeight="1" spans="1:12">
      <c r="A178" s="18">
        <v>146</v>
      </c>
      <c r="B178" s="19">
        <v>10904002015</v>
      </c>
      <c r="C178" s="7"/>
      <c r="D178" s="7" t="s">
        <v>297</v>
      </c>
      <c r="E178" s="7" t="s">
        <v>298</v>
      </c>
      <c r="F178" s="7"/>
      <c r="G178" s="7"/>
      <c r="H178" s="6" t="s">
        <v>93</v>
      </c>
      <c r="I178" s="17">
        <v>275.44</v>
      </c>
      <c r="J178" s="17">
        <v>32.1</v>
      </c>
      <c r="K178" s="10"/>
      <c r="L178" s="17">
        <v>8841.62</v>
      </c>
    </row>
    <row r="179" ht="125" customHeight="1" spans="1:12">
      <c r="A179" s="18">
        <v>147</v>
      </c>
      <c r="B179" s="19">
        <v>11101001018</v>
      </c>
      <c r="C179" s="7"/>
      <c r="D179" s="7" t="s">
        <v>299</v>
      </c>
      <c r="E179" s="7" t="s">
        <v>300</v>
      </c>
      <c r="F179" s="7"/>
      <c r="G179" s="7"/>
      <c r="H179" s="6" t="s">
        <v>93</v>
      </c>
      <c r="I179" s="17">
        <v>217.76</v>
      </c>
      <c r="J179" s="17">
        <v>13.08</v>
      </c>
      <c r="K179" s="10"/>
      <c r="L179" s="17">
        <v>2848.3</v>
      </c>
    </row>
    <row r="180" ht="110" customHeight="1" spans="1:12">
      <c r="A180" s="18">
        <v>148</v>
      </c>
      <c r="B180" s="19">
        <v>11201001023</v>
      </c>
      <c r="C180" s="7"/>
      <c r="D180" s="7" t="s">
        <v>301</v>
      </c>
      <c r="E180" s="7" t="s">
        <v>302</v>
      </c>
      <c r="F180" s="7"/>
      <c r="G180" s="7"/>
      <c r="H180" s="6" t="s">
        <v>93</v>
      </c>
      <c r="I180" s="17">
        <v>275.44</v>
      </c>
      <c r="J180" s="17">
        <v>14.01</v>
      </c>
      <c r="K180" s="10"/>
      <c r="L180" s="17">
        <v>3858.91</v>
      </c>
    </row>
    <row r="181" ht="154" customHeight="1" spans="1:12">
      <c r="A181" s="18">
        <v>149</v>
      </c>
      <c r="B181" s="19">
        <v>10501001023</v>
      </c>
      <c r="C181" s="7"/>
      <c r="D181" s="7" t="s">
        <v>303</v>
      </c>
      <c r="E181" s="7" t="s">
        <v>304</v>
      </c>
      <c r="F181" s="7"/>
      <c r="G181" s="7"/>
      <c r="H181" s="6" t="s">
        <v>79</v>
      </c>
      <c r="I181" s="17">
        <v>65.328</v>
      </c>
      <c r="J181" s="17">
        <v>304.77</v>
      </c>
      <c r="K181" s="10"/>
      <c r="L181" s="17">
        <v>19910.01</v>
      </c>
    </row>
    <row r="182" ht="154" customHeight="1" spans="1:12">
      <c r="A182" s="18">
        <v>150</v>
      </c>
      <c r="B182" s="19">
        <v>11101002011</v>
      </c>
      <c r="C182" s="7"/>
      <c r="D182" s="7" t="s">
        <v>295</v>
      </c>
      <c r="E182" s="7" t="s">
        <v>305</v>
      </c>
      <c r="F182" s="7"/>
      <c r="G182" s="7"/>
      <c r="H182" s="6" t="s">
        <v>93</v>
      </c>
      <c r="I182" s="17">
        <v>217.76</v>
      </c>
      <c r="J182" s="17">
        <v>36.6</v>
      </c>
      <c r="K182" s="10"/>
      <c r="L182" s="17">
        <v>7970.02</v>
      </c>
    </row>
    <row r="183" ht="288" customHeight="1" spans="1:12">
      <c r="A183" s="18">
        <v>151</v>
      </c>
      <c r="B183" s="19">
        <v>10904002016</v>
      </c>
      <c r="C183" s="7"/>
      <c r="D183" s="7" t="s">
        <v>297</v>
      </c>
      <c r="E183" s="7" t="s">
        <v>306</v>
      </c>
      <c r="F183" s="7"/>
      <c r="G183" s="7"/>
      <c r="H183" s="6" t="s">
        <v>93</v>
      </c>
      <c r="I183" s="17">
        <v>275.44</v>
      </c>
      <c r="J183" s="17">
        <v>34.11</v>
      </c>
      <c r="K183" s="10"/>
      <c r="L183" s="17">
        <v>9395.26</v>
      </c>
    </row>
    <row r="184" ht="154" customHeight="1" spans="1:12">
      <c r="A184" s="18">
        <v>152</v>
      </c>
      <c r="B184" s="19">
        <v>11102003014</v>
      </c>
      <c r="C184" s="7"/>
      <c r="D184" s="7" t="s">
        <v>289</v>
      </c>
      <c r="E184" s="7" t="s">
        <v>307</v>
      </c>
      <c r="F184" s="7"/>
      <c r="G184" s="7"/>
      <c r="H184" s="6" t="s">
        <v>93</v>
      </c>
      <c r="I184" s="17">
        <v>217.76</v>
      </c>
      <c r="J184" s="17">
        <v>84.83</v>
      </c>
      <c r="K184" s="10"/>
      <c r="L184" s="17">
        <v>18472.58</v>
      </c>
    </row>
    <row r="185" ht="51" customHeight="1" spans="1:12">
      <c r="A185" s="6" t="s">
        <v>53</v>
      </c>
      <c r="B185" s="7" t="s">
        <v>53</v>
      </c>
      <c r="C185" s="7"/>
      <c r="D185" s="7" t="s">
        <v>308</v>
      </c>
      <c r="E185" s="7" t="s">
        <v>53</v>
      </c>
      <c r="F185" s="7"/>
      <c r="G185" s="7"/>
      <c r="H185" s="6" t="s">
        <v>53</v>
      </c>
      <c r="I185" s="16" t="s">
        <v>53</v>
      </c>
      <c r="J185" s="10" t="s">
        <v>53</v>
      </c>
      <c r="K185" s="10"/>
      <c r="L185" s="17">
        <v>2780241.47</v>
      </c>
    </row>
    <row r="186" ht="125" customHeight="1" spans="1:12">
      <c r="A186" s="18">
        <v>153</v>
      </c>
      <c r="B186" s="19">
        <v>10501001024</v>
      </c>
      <c r="C186" s="7"/>
      <c r="D186" s="7" t="s">
        <v>309</v>
      </c>
      <c r="E186" s="7" t="s">
        <v>310</v>
      </c>
      <c r="F186" s="7"/>
      <c r="G186" s="7"/>
      <c r="H186" s="6" t="s">
        <v>93</v>
      </c>
      <c r="I186" s="17">
        <v>12311.214</v>
      </c>
      <c r="J186" s="17">
        <v>84.89</v>
      </c>
      <c r="K186" s="10"/>
      <c r="L186" s="17">
        <v>1045098.96</v>
      </c>
    </row>
    <row r="187" ht="154" customHeight="1" spans="1:12">
      <c r="A187" s="18">
        <v>154</v>
      </c>
      <c r="B187" s="19">
        <v>10501001025</v>
      </c>
      <c r="C187" s="7"/>
      <c r="D187" s="7" t="s">
        <v>279</v>
      </c>
      <c r="E187" s="7" t="s">
        <v>311</v>
      </c>
      <c r="F187" s="7"/>
      <c r="G187" s="7"/>
      <c r="H187" s="6" t="s">
        <v>93</v>
      </c>
      <c r="I187" s="17">
        <v>12311.214</v>
      </c>
      <c r="J187" s="17">
        <v>108.5</v>
      </c>
      <c r="K187" s="10"/>
      <c r="L187" s="17">
        <v>1335766.72</v>
      </c>
    </row>
    <row r="188" ht="169" customHeight="1" spans="1:12">
      <c r="A188" s="18">
        <v>155</v>
      </c>
      <c r="B188" s="19">
        <v>11101001019</v>
      </c>
      <c r="C188" s="7"/>
      <c r="D188" s="7" t="s">
        <v>312</v>
      </c>
      <c r="E188" s="7" t="s">
        <v>313</v>
      </c>
      <c r="F188" s="7"/>
      <c r="G188" s="7"/>
      <c r="H188" s="6" t="s">
        <v>93</v>
      </c>
      <c r="I188" s="17">
        <v>12311.214</v>
      </c>
      <c r="J188" s="17">
        <v>14.14</v>
      </c>
      <c r="K188" s="10"/>
      <c r="L188" s="17">
        <v>174080.57</v>
      </c>
    </row>
    <row r="189" ht="288" customHeight="1" spans="1:12">
      <c r="A189" s="18">
        <v>156</v>
      </c>
      <c r="B189" s="19">
        <v>11101001020</v>
      </c>
      <c r="C189" s="7"/>
      <c r="D189" s="7" t="s">
        <v>314</v>
      </c>
      <c r="E189" s="7" t="s">
        <v>315</v>
      </c>
      <c r="F189" s="7"/>
      <c r="G189" s="7"/>
      <c r="H189" s="6" t="s">
        <v>93</v>
      </c>
      <c r="I189" s="17">
        <v>12311.214</v>
      </c>
      <c r="J189" s="17">
        <v>18.3</v>
      </c>
      <c r="K189" s="10"/>
      <c r="L189" s="17">
        <v>225295.22</v>
      </c>
    </row>
    <row r="190" ht="110" customHeight="1" spans="1:12">
      <c r="A190" s="6" t="s">
        <v>53</v>
      </c>
      <c r="B190" s="7" t="s">
        <v>53</v>
      </c>
      <c r="C190" s="7"/>
      <c r="D190" s="7" t="s">
        <v>316</v>
      </c>
      <c r="E190" s="7" t="s">
        <v>53</v>
      </c>
      <c r="F190" s="7"/>
      <c r="G190" s="7"/>
      <c r="H190" s="6" t="s">
        <v>53</v>
      </c>
      <c r="I190" s="16" t="s">
        <v>53</v>
      </c>
      <c r="J190" s="10" t="s">
        <v>53</v>
      </c>
      <c r="K190" s="10"/>
      <c r="L190" s="17">
        <v>4078.2</v>
      </c>
    </row>
    <row r="191" ht="154" customHeight="1" spans="1:12">
      <c r="A191" s="18">
        <v>157</v>
      </c>
      <c r="B191" s="19">
        <v>10501001026</v>
      </c>
      <c r="C191" s="7"/>
      <c r="D191" s="7" t="s">
        <v>287</v>
      </c>
      <c r="E191" s="7" t="s">
        <v>288</v>
      </c>
      <c r="F191" s="7"/>
      <c r="G191" s="7"/>
      <c r="H191" s="6" t="s">
        <v>93</v>
      </c>
      <c r="I191" s="17">
        <v>61.317</v>
      </c>
      <c r="J191" s="17">
        <v>47.18</v>
      </c>
      <c r="K191" s="10"/>
      <c r="L191" s="17">
        <v>2892.94</v>
      </c>
    </row>
    <row r="192" ht="169" customHeight="1" spans="1:12">
      <c r="A192" s="18">
        <v>158</v>
      </c>
      <c r="B192" s="19">
        <v>11101003004</v>
      </c>
      <c r="C192" s="7"/>
      <c r="D192" s="7" t="s">
        <v>317</v>
      </c>
      <c r="E192" s="7" t="s">
        <v>318</v>
      </c>
      <c r="F192" s="7"/>
      <c r="G192" s="7"/>
      <c r="H192" s="6" t="s">
        <v>93</v>
      </c>
      <c r="I192" s="17">
        <v>61.317</v>
      </c>
      <c r="J192" s="17">
        <v>19.33</v>
      </c>
      <c r="K192" s="10"/>
      <c r="L192" s="17">
        <v>1185.26</v>
      </c>
    </row>
    <row r="193" ht="36" customHeight="1" spans="1:12">
      <c r="A193" s="6" t="s">
        <v>53</v>
      </c>
      <c r="B193" s="7" t="s">
        <v>53</v>
      </c>
      <c r="C193" s="7"/>
      <c r="D193" s="7" t="s">
        <v>319</v>
      </c>
      <c r="E193" s="7" t="s">
        <v>53</v>
      </c>
      <c r="F193" s="7"/>
      <c r="G193" s="7"/>
      <c r="H193" s="6" t="s">
        <v>53</v>
      </c>
      <c r="I193" s="16" t="s">
        <v>53</v>
      </c>
      <c r="J193" s="10" t="s">
        <v>53</v>
      </c>
      <c r="K193" s="10"/>
      <c r="L193" s="17">
        <v>32093.19</v>
      </c>
    </row>
    <row r="194" ht="125" customHeight="1" spans="1:12">
      <c r="A194" s="18">
        <v>159</v>
      </c>
      <c r="B194" s="19">
        <v>10501001027</v>
      </c>
      <c r="C194" s="7"/>
      <c r="D194" s="7" t="s">
        <v>320</v>
      </c>
      <c r="E194" s="7" t="s">
        <v>321</v>
      </c>
      <c r="F194" s="7"/>
      <c r="G194" s="7"/>
      <c r="H194" s="6" t="s">
        <v>93</v>
      </c>
      <c r="I194" s="17">
        <v>153.6</v>
      </c>
      <c r="J194" s="17">
        <v>58.13</v>
      </c>
      <c r="K194" s="10"/>
      <c r="L194" s="17">
        <v>8928.77</v>
      </c>
    </row>
    <row r="195" ht="302" customHeight="1" spans="1:12">
      <c r="A195" s="18">
        <v>160</v>
      </c>
      <c r="B195" s="19">
        <v>10501001028</v>
      </c>
      <c r="C195" s="7"/>
      <c r="D195" s="7" t="s">
        <v>279</v>
      </c>
      <c r="E195" s="7" t="s">
        <v>322</v>
      </c>
      <c r="F195" s="7"/>
      <c r="G195" s="7"/>
      <c r="H195" s="6" t="s">
        <v>93</v>
      </c>
      <c r="I195" s="17">
        <v>153.6</v>
      </c>
      <c r="J195" s="17">
        <v>150.81</v>
      </c>
      <c r="K195" s="10"/>
      <c r="L195" s="17">
        <v>23164.42</v>
      </c>
    </row>
    <row r="196" ht="66" customHeight="1" spans="1:12">
      <c r="A196" s="6" t="s">
        <v>53</v>
      </c>
      <c r="B196" s="7" t="s">
        <v>53</v>
      </c>
      <c r="C196" s="7"/>
      <c r="D196" s="7" t="s">
        <v>323</v>
      </c>
      <c r="E196" s="7" t="s">
        <v>53</v>
      </c>
      <c r="F196" s="7"/>
      <c r="G196" s="7"/>
      <c r="H196" s="6" t="s">
        <v>53</v>
      </c>
      <c r="I196" s="16" t="s">
        <v>53</v>
      </c>
      <c r="J196" s="10" t="s">
        <v>53</v>
      </c>
      <c r="K196" s="10"/>
      <c r="L196" s="17">
        <v>120017.28</v>
      </c>
    </row>
    <row r="197" ht="273" customHeight="1" spans="1:12">
      <c r="A197" s="18">
        <v>161</v>
      </c>
      <c r="B197" s="19">
        <v>11102003015</v>
      </c>
      <c r="C197" s="7"/>
      <c r="D197" s="7" t="s">
        <v>289</v>
      </c>
      <c r="E197" s="7" t="s">
        <v>324</v>
      </c>
      <c r="F197" s="7"/>
      <c r="G197" s="7"/>
      <c r="H197" s="6" t="s">
        <v>93</v>
      </c>
      <c r="I197" s="17">
        <v>596.64</v>
      </c>
      <c r="J197" s="17">
        <v>93.52</v>
      </c>
      <c r="K197" s="10"/>
      <c r="L197" s="17">
        <v>55797.77</v>
      </c>
    </row>
    <row r="198" ht="273" customHeight="1" spans="1:12">
      <c r="A198" s="18">
        <v>162</v>
      </c>
      <c r="B198" s="19">
        <v>11106003004</v>
      </c>
      <c r="C198" s="7"/>
      <c r="D198" s="7" t="s">
        <v>293</v>
      </c>
      <c r="E198" s="7" t="s">
        <v>292</v>
      </c>
      <c r="F198" s="7"/>
      <c r="G198" s="7"/>
      <c r="H198" s="6" t="s">
        <v>93</v>
      </c>
      <c r="I198" s="17">
        <v>303.782</v>
      </c>
      <c r="J198" s="17">
        <v>211.4</v>
      </c>
      <c r="K198" s="10"/>
      <c r="L198" s="17">
        <v>64219.51</v>
      </c>
    </row>
    <row r="199" ht="36" customHeight="1" spans="1:12">
      <c r="A199" s="6" t="s">
        <v>53</v>
      </c>
      <c r="B199" s="7" t="s">
        <v>53</v>
      </c>
      <c r="C199" s="7"/>
      <c r="D199" s="7" t="s">
        <v>325</v>
      </c>
      <c r="E199" s="7" t="s">
        <v>53</v>
      </c>
      <c r="F199" s="7"/>
      <c r="G199" s="7"/>
      <c r="H199" s="6" t="s">
        <v>53</v>
      </c>
      <c r="I199" s="16" t="s">
        <v>53</v>
      </c>
      <c r="J199" s="10" t="s">
        <v>53</v>
      </c>
      <c r="K199" s="10"/>
      <c r="L199" s="17">
        <v>69605.28</v>
      </c>
    </row>
    <row r="200" ht="183" customHeight="1" spans="1:12">
      <c r="A200" s="18">
        <v>163</v>
      </c>
      <c r="B200" s="19">
        <v>11101002012</v>
      </c>
      <c r="C200" s="7"/>
      <c r="D200" s="7" t="s">
        <v>295</v>
      </c>
      <c r="E200" s="7" t="s">
        <v>326</v>
      </c>
      <c r="F200" s="7"/>
      <c r="G200" s="7"/>
      <c r="H200" s="6" t="s">
        <v>93</v>
      </c>
      <c r="I200" s="17">
        <v>192.88</v>
      </c>
      <c r="J200" s="17">
        <v>34.21</v>
      </c>
      <c r="K200" s="10"/>
      <c r="L200" s="17">
        <v>6598.42</v>
      </c>
    </row>
    <row r="201" ht="273" customHeight="1" spans="1:12">
      <c r="A201" s="18">
        <v>164</v>
      </c>
      <c r="B201" s="19">
        <v>10904002017</v>
      </c>
      <c r="C201" s="7"/>
      <c r="D201" s="7" t="s">
        <v>297</v>
      </c>
      <c r="E201" s="7" t="s">
        <v>298</v>
      </c>
      <c r="F201" s="7"/>
      <c r="G201" s="7"/>
      <c r="H201" s="6" t="s">
        <v>93</v>
      </c>
      <c r="I201" s="17">
        <v>242.176</v>
      </c>
      <c r="J201" s="17">
        <v>32.1</v>
      </c>
      <c r="K201" s="10"/>
      <c r="L201" s="17">
        <v>7773.85</v>
      </c>
    </row>
    <row r="202" ht="125" customHeight="1" spans="1:12">
      <c r="A202" s="18">
        <v>165</v>
      </c>
      <c r="B202" s="19">
        <v>11101001021</v>
      </c>
      <c r="C202" s="7"/>
      <c r="D202" s="7" t="s">
        <v>299</v>
      </c>
      <c r="E202" s="7" t="s">
        <v>300</v>
      </c>
      <c r="F202" s="7"/>
      <c r="G202" s="7"/>
      <c r="H202" s="6" t="s">
        <v>93</v>
      </c>
      <c r="I202" s="17">
        <v>192.88</v>
      </c>
      <c r="J202" s="17">
        <v>13.08</v>
      </c>
      <c r="K202" s="10"/>
      <c r="L202" s="17">
        <v>2522.87</v>
      </c>
    </row>
    <row r="203" ht="110" customHeight="1" spans="1:12">
      <c r="A203" s="18">
        <v>166</v>
      </c>
      <c r="B203" s="19">
        <v>11201001024</v>
      </c>
      <c r="C203" s="7"/>
      <c r="D203" s="7" t="s">
        <v>301</v>
      </c>
      <c r="E203" s="7" t="s">
        <v>302</v>
      </c>
      <c r="F203" s="7"/>
      <c r="G203" s="7"/>
      <c r="H203" s="6" t="s">
        <v>93</v>
      </c>
      <c r="I203" s="17">
        <v>242.176</v>
      </c>
      <c r="J203" s="17">
        <v>14.01</v>
      </c>
      <c r="K203" s="10"/>
      <c r="L203" s="17">
        <v>3392.89</v>
      </c>
    </row>
    <row r="204" ht="154" customHeight="1" spans="1:12">
      <c r="A204" s="18">
        <v>167</v>
      </c>
      <c r="B204" s="19">
        <v>10501001029</v>
      </c>
      <c r="C204" s="7"/>
      <c r="D204" s="7" t="s">
        <v>303</v>
      </c>
      <c r="E204" s="7" t="s">
        <v>304</v>
      </c>
      <c r="F204" s="7"/>
      <c r="G204" s="7"/>
      <c r="H204" s="6" t="s">
        <v>79</v>
      </c>
      <c r="I204" s="17">
        <v>57.864</v>
      </c>
      <c r="J204" s="17">
        <v>304.77</v>
      </c>
      <c r="K204" s="10"/>
      <c r="L204" s="17">
        <v>17635.21</v>
      </c>
    </row>
    <row r="205" ht="154" customHeight="1" spans="1:12">
      <c r="A205" s="18">
        <v>168</v>
      </c>
      <c r="B205" s="19">
        <v>11101002013</v>
      </c>
      <c r="C205" s="7"/>
      <c r="D205" s="7" t="s">
        <v>295</v>
      </c>
      <c r="E205" s="7" t="s">
        <v>305</v>
      </c>
      <c r="F205" s="7"/>
      <c r="G205" s="7"/>
      <c r="H205" s="6" t="s">
        <v>93</v>
      </c>
      <c r="I205" s="17">
        <v>192.88</v>
      </c>
      <c r="J205" s="17">
        <v>36.6</v>
      </c>
      <c r="K205" s="10"/>
      <c r="L205" s="17">
        <v>7059.41</v>
      </c>
    </row>
    <row r="206" ht="288" customHeight="1" spans="1:12">
      <c r="A206" s="18">
        <v>169</v>
      </c>
      <c r="B206" s="19">
        <v>10904002018</v>
      </c>
      <c r="C206" s="7"/>
      <c r="D206" s="7" t="s">
        <v>297</v>
      </c>
      <c r="E206" s="7" t="s">
        <v>306</v>
      </c>
      <c r="F206" s="7"/>
      <c r="G206" s="7"/>
      <c r="H206" s="6" t="s">
        <v>93</v>
      </c>
      <c r="I206" s="17">
        <v>242.176</v>
      </c>
      <c r="J206" s="17">
        <v>34.11</v>
      </c>
      <c r="K206" s="10"/>
      <c r="L206" s="17">
        <v>8260.62</v>
      </c>
    </row>
    <row r="207" ht="154" customHeight="1" spans="1:12">
      <c r="A207" s="18">
        <v>170</v>
      </c>
      <c r="B207" s="19">
        <v>11102003016</v>
      </c>
      <c r="C207" s="7"/>
      <c r="D207" s="7" t="s">
        <v>289</v>
      </c>
      <c r="E207" s="7" t="s">
        <v>307</v>
      </c>
      <c r="F207" s="7"/>
      <c r="G207" s="7"/>
      <c r="H207" s="6" t="s">
        <v>93</v>
      </c>
      <c r="I207" s="17">
        <v>192.88</v>
      </c>
      <c r="J207" s="17">
        <v>84.83</v>
      </c>
      <c r="K207" s="10"/>
      <c r="L207" s="17">
        <v>16362.01</v>
      </c>
    </row>
    <row r="208" ht="51" customHeight="1" spans="1:12">
      <c r="A208" s="6" t="s">
        <v>53</v>
      </c>
      <c r="B208" s="7" t="s">
        <v>53</v>
      </c>
      <c r="C208" s="7"/>
      <c r="D208" s="7" t="s">
        <v>327</v>
      </c>
      <c r="E208" s="7" t="s">
        <v>53</v>
      </c>
      <c r="F208" s="7"/>
      <c r="G208" s="7"/>
      <c r="H208" s="6" t="s">
        <v>53</v>
      </c>
      <c r="I208" s="16" t="s">
        <v>53</v>
      </c>
      <c r="J208" s="10" t="s">
        <v>53</v>
      </c>
      <c r="K208" s="10"/>
      <c r="L208" s="17">
        <v>301217.08</v>
      </c>
    </row>
    <row r="209" ht="169" customHeight="1" spans="1:12">
      <c r="A209" s="18">
        <v>171</v>
      </c>
      <c r="B209" s="19">
        <v>11101001022</v>
      </c>
      <c r="C209" s="7"/>
      <c r="D209" s="7" t="s">
        <v>312</v>
      </c>
      <c r="E209" s="7" t="s">
        <v>313</v>
      </c>
      <c r="F209" s="7"/>
      <c r="G209" s="7"/>
      <c r="H209" s="6" t="s">
        <v>93</v>
      </c>
      <c r="I209" s="17">
        <v>9285.36</v>
      </c>
      <c r="J209" s="17">
        <v>14.14</v>
      </c>
      <c r="K209" s="10"/>
      <c r="L209" s="17">
        <v>131294.99</v>
      </c>
    </row>
    <row r="210" ht="288" customHeight="1" spans="1:12">
      <c r="A210" s="18">
        <v>172</v>
      </c>
      <c r="B210" s="19">
        <v>11101001023</v>
      </c>
      <c r="C210" s="7"/>
      <c r="D210" s="7" t="s">
        <v>314</v>
      </c>
      <c r="E210" s="7" t="s">
        <v>315</v>
      </c>
      <c r="F210" s="7"/>
      <c r="G210" s="7"/>
      <c r="H210" s="6" t="s">
        <v>93</v>
      </c>
      <c r="I210" s="17">
        <v>9285.36</v>
      </c>
      <c r="J210" s="17">
        <v>18.3</v>
      </c>
      <c r="K210" s="10"/>
      <c r="L210" s="17">
        <v>169922.09</v>
      </c>
    </row>
    <row r="211" ht="80" customHeight="1" spans="1:12">
      <c r="A211" s="6" t="s">
        <v>53</v>
      </c>
      <c r="B211" s="7" t="s">
        <v>53</v>
      </c>
      <c r="C211" s="7"/>
      <c r="D211" s="7" t="s">
        <v>328</v>
      </c>
      <c r="E211" s="7" t="s">
        <v>53</v>
      </c>
      <c r="F211" s="7"/>
      <c r="G211" s="7"/>
      <c r="H211" s="6" t="s">
        <v>53</v>
      </c>
      <c r="I211" s="16" t="s">
        <v>53</v>
      </c>
      <c r="J211" s="10" t="s">
        <v>53</v>
      </c>
      <c r="K211" s="10"/>
      <c r="L211" s="17">
        <v>10835.59</v>
      </c>
    </row>
    <row r="212" ht="169" customHeight="1" spans="1:12">
      <c r="A212" s="18">
        <v>173</v>
      </c>
      <c r="B212" s="19">
        <v>11101003005</v>
      </c>
      <c r="C212" s="7"/>
      <c r="D212" s="7" t="s">
        <v>317</v>
      </c>
      <c r="E212" s="7" t="s">
        <v>318</v>
      </c>
      <c r="F212" s="7"/>
      <c r="G212" s="7"/>
      <c r="H212" s="6" t="s">
        <v>93</v>
      </c>
      <c r="I212" s="17">
        <v>560.558</v>
      </c>
      <c r="J212" s="17">
        <v>19.33</v>
      </c>
      <c r="K212" s="10"/>
      <c r="L212" s="17">
        <v>10835.59</v>
      </c>
    </row>
    <row r="213" ht="36" customHeight="1" spans="1:12">
      <c r="A213" s="6" t="s">
        <v>53</v>
      </c>
      <c r="B213" s="7" t="s">
        <v>53</v>
      </c>
      <c r="C213" s="7"/>
      <c r="D213" s="7" t="s">
        <v>329</v>
      </c>
      <c r="E213" s="7" t="s">
        <v>53</v>
      </c>
      <c r="F213" s="7"/>
      <c r="G213" s="7"/>
      <c r="H213" s="6" t="s">
        <v>53</v>
      </c>
      <c r="I213" s="16" t="s">
        <v>53</v>
      </c>
      <c r="J213" s="10" t="s">
        <v>53</v>
      </c>
      <c r="K213" s="10"/>
      <c r="L213" s="17">
        <v>25298.72</v>
      </c>
    </row>
    <row r="214" ht="125" customHeight="1" spans="1:12">
      <c r="A214" s="18">
        <v>174</v>
      </c>
      <c r="B214" s="19">
        <v>11101001024</v>
      </c>
      <c r="C214" s="7"/>
      <c r="D214" s="7" t="s">
        <v>330</v>
      </c>
      <c r="E214" s="7" t="s">
        <v>331</v>
      </c>
      <c r="F214" s="7"/>
      <c r="G214" s="7"/>
      <c r="H214" s="6" t="s">
        <v>93</v>
      </c>
      <c r="I214" s="17">
        <v>877.818</v>
      </c>
      <c r="J214" s="17">
        <v>3.7</v>
      </c>
      <c r="K214" s="10"/>
      <c r="L214" s="17">
        <v>3247.93</v>
      </c>
    </row>
    <row r="215" ht="183" customHeight="1" spans="1:12">
      <c r="A215" s="18">
        <v>175</v>
      </c>
      <c r="B215" s="19">
        <v>10904002019</v>
      </c>
      <c r="C215" s="7"/>
      <c r="D215" s="7" t="s">
        <v>332</v>
      </c>
      <c r="E215" s="7" t="s">
        <v>333</v>
      </c>
      <c r="F215" s="7"/>
      <c r="G215" s="7"/>
      <c r="H215" s="6" t="s">
        <v>93</v>
      </c>
      <c r="I215" s="17">
        <v>877.818</v>
      </c>
      <c r="J215" s="17">
        <v>25.12</v>
      </c>
      <c r="K215" s="10"/>
      <c r="L215" s="17">
        <v>22050.79</v>
      </c>
    </row>
    <row r="216" ht="36" customHeight="1" spans="1:12">
      <c r="A216" s="6" t="s">
        <v>53</v>
      </c>
      <c r="B216" s="7" t="s">
        <v>53</v>
      </c>
      <c r="C216" s="7"/>
      <c r="D216" s="7" t="s">
        <v>334</v>
      </c>
      <c r="E216" s="7" t="s">
        <v>53</v>
      </c>
      <c r="F216" s="7"/>
      <c r="G216" s="7"/>
      <c r="H216" s="6" t="s">
        <v>53</v>
      </c>
      <c r="I216" s="16" t="s">
        <v>53</v>
      </c>
      <c r="J216" s="10" t="s">
        <v>53</v>
      </c>
      <c r="K216" s="10"/>
      <c r="L216" s="17">
        <v>12210.57</v>
      </c>
    </row>
    <row r="217" ht="169" customHeight="1" spans="1:12">
      <c r="A217" s="18">
        <v>176</v>
      </c>
      <c r="B217" s="19">
        <v>11105003002</v>
      </c>
      <c r="C217" s="7"/>
      <c r="D217" s="7" t="s">
        <v>335</v>
      </c>
      <c r="E217" s="7" t="s">
        <v>336</v>
      </c>
      <c r="F217" s="7"/>
      <c r="G217" s="7"/>
      <c r="H217" s="6" t="s">
        <v>230</v>
      </c>
      <c r="I217" s="17">
        <v>106.932</v>
      </c>
      <c r="J217" s="17">
        <v>114.19</v>
      </c>
      <c r="K217" s="10"/>
      <c r="L217" s="17">
        <v>12210.57</v>
      </c>
    </row>
    <row r="218" ht="36" customHeight="1" spans="1:12">
      <c r="A218" s="6" t="s">
        <v>53</v>
      </c>
      <c r="B218" s="7" t="s">
        <v>53</v>
      </c>
      <c r="C218" s="7"/>
      <c r="D218" s="7" t="s">
        <v>337</v>
      </c>
      <c r="E218" s="7" t="s">
        <v>53</v>
      </c>
      <c r="F218" s="7"/>
      <c r="G218" s="7"/>
      <c r="H218" s="6" t="s">
        <v>53</v>
      </c>
      <c r="I218" s="16" t="s">
        <v>53</v>
      </c>
      <c r="J218" s="10" t="s">
        <v>53</v>
      </c>
      <c r="K218" s="10"/>
      <c r="L218" s="17">
        <v>5918.04</v>
      </c>
    </row>
    <row r="219" ht="169" customHeight="1" spans="1:12">
      <c r="A219" s="18">
        <v>177</v>
      </c>
      <c r="B219" s="19">
        <v>11105001002</v>
      </c>
      <c r="C219" s="7"/>
      <c r="D219" s="7" t="s">
        <v>338</v>
      </c>
      <c r="E219" s="7" t="s">
        <v>339</v>
      </c>
      <c r="F219" s="7"/>
      <c r="G219" s="7"/>
      <c r="H219" s="6" t="s">
        <v>230</v>
      </c>
      <c r="I219" s="17">
        <v>272.219</v>
      </c>
      <c r="J219" s="17">
        <v>21.74</v>
      </c>
      <c r="K219" s="10"/>
      <c r="L219" s="17">
        <v>5918.04</v>
      </c>
    </row>
    <row r="220" ht="23" customHeight="1" spans="1:12">
      <c r="A220" s="6" t="s">
        <v>53</v>
      </c>
      <c r="B220" s="7" t="s">
        <v>53</v>
      </c>
      <c r="C220" s="7"/>
      <c r="D220" s="7" t="s">
        <v>31</v>
      </c>
      <c r="E220" s="7" t="s">
        <v>53</v>
      </c>
      <c r="F220" s="7"/>
      <c r="G220" s="7"/>
      <c r="H220" s="6" t="s">
        <v>53</v>
      </c>
      <c r="I220" s="16" t="s">
        <v>53</v>
      </c>
      <c r="J220" s="10" t="s">
        <v>53</v>
      </c>
      <c r="K220" s="10"/>
      <c r="L220" s="17">
        <v>4129878.09</v>
      </c>
    </row>
    <row r="221" ht="23" customHeight="1" spans="1:12">
      <c r="A221" s="6" t="s">
        <v>53</v>
      </c>
      <c r="B221" s="7" t="s">
        <v>53</v>
      </c>
      <c r="C221" s="7"/>
      <c r="D221" s="7" t="s">
        <v>340</v>
      </c>
      <c r="E221" s="7" t="s">
        <v>53</v>
      </c>
      <c r="F221" s="7"/>
      <c r="G221" s="7"/>
      <c r="H221" s="6" t="s">
        <v>53</v>
      </c>
      <c r="I221" s="16" t="s">
        <v>53</v>
      </c>
      <c r="J221" s="10" t="s">
        <v>53</v>
      </c>
      <c r="K221" s="10"/>
      <c r="L221" s="17">
        <v>2394984.23</v>
      </c>
    </row>
    <row r="222" ht="23" customHeight="1" spans="1:12">
      <c r="A222" s="6" t="s">
        <v>53</v>
      </c>
      <c r="B222" s="7" t="s">
        <v>53</v>
      </c>
      <c r="C222" s="7"/>
      <c r="D222" s="7" t="s">
        <v>341</v>
      </c>
      <c r="E222" s="7" t="s">
        <v>53</v>
      </c>
      <c r="F222" s="7"/>
      <c r="G222" s="7"/>
      <c r="H222" s="6" t="s">
        <v>53</v>
      </c>
      <c r="I222" s="16" t="s">
        <v>53</v>
      </c>
      <c r="J222" s="10" t="s">
        <v>53</v>
      </c>
      <c r="K222" s="10"/>
      <c r="L222" s="17">
        <v>1435381.09</v>
      </c>
    </row>
    <row r="223" ht="183" customHeight="1" spans="1:12">
      <c r="A223" s="18">
        <v>178</v>
      </c>
      <c r="B223" s="19">
        <v>11201001025</v>
      </c>
      <c r="C223" s="7"/>
      <c r="D223" s="7" t="s">
        <v>342</v>
      </c>
      <c r="E223" s="7" t="s">
        <v>343</v>
      </c>
      <c r="F223" s="7"/>
      <c r="G223" s="7"/>
      <c r="H223" s="6" t="s">
        <v>93</v>
      </c>
      <c r="I223" s="17">
        <v>10663.622</v>
      </c>
      <c r="J223" s="17">
        <v>39.92</v>
      </c>
      <c r="K223" s="10"/>
      <c r="L223" s="17">
        <v>425691.79</v>
      </c>
    </row>
    <row r="224" ht="183" customHeight="1" spans="1:12">
      <c r="A224" s="18">
        <v>179</v>
      </c>
      <c r="B224" s="19">
        <v>11403003010</v>
      </c>
      <c r="C224" s="7"/>
      <c r="D224" s="7" t="s">
        <v>344</v>
      </c>
      <c r="E224" s="7" t="s">
        <v>345</v>
      </c>
      <c r="F224" s="7"/>
      <c r="G224" s="7"/>
      <c r="H224" s="6" t="s">
        <v>93</v>
      </c>
      <c r="I224" s="17">
        <v>10663.622</v>
      </c>
      <c r="J224" s="17">
        <v>31.36</v>
      </c>
      <c r="K224" s="10"/>
      <c r="L224" s="17">
        <v>334411.19</v>
      </c>
    </row>
    <row r="225" ht="183" customHeight="1" spans="1:12">
      <c r="A225" s="18">
        <v>180</v>
      </c>
      <c r="B225" s="19">
        <v>11201001026</v>
      </c>
      <c r="C225" s="7"/>
      <c r="D225" s="7" t="s">
        <v>346</v>
      </c>
      <c r="E225" s="7" t="s">
        <v>343</v>
      </c>
      <c r="F225" s="7"/>
      <c r="G225" s="7"/>
      <c r="H225" s="6" t="s">
        <v>93</v>
      </c>
      <c r="I225" s="17">
        <v>10663.622</v>
      </c>
      <c r="J225" s="17">
        <v>56.48</v>
      </c>
      <c r="K225" s="10"/>
      <c r="L225" s="17">
        <v>602281.37</v>
      </c>
    </row>
    <row r="226" ht="183" customHeight="1" spans="1:12">
      <c r="A226" s="18">
        <v>181</v>
      </c>
      <c r="B226" s="19">
        <v>11403003011</v>
      </c>
      <c r="C226" s="7"/>
      <c r="D226" s="7" t="s">
        <v>347</v>
      </c>
      <c r="E226" s="7" t="s">
        <v>345</v>
      </c>
      <c r="F226" s="7"/>
      <c r="G226" s="7"/>
      <c r="H226" s="6" t="s">
        <v>93</v>
      </c>
      <c r="I226" s="17">
        <v>2130.048</v>
      </c>
      <c r="J226" s="17">
        <v>34.27</v>
      </c>
      <c r="K226" s="10"/>
      <c r="L226" s="17">
        <v>72996.74</v>
      </c>
    </row>
    <row r="227" ht="36" customHeight="1" spans="1:12">
      <c r="A227" s="6" t="s">
        <v>53</v>
      </c>
      <c r="B227" s="7" t="s">
        <v>53</v>
      </c>
      <c r="C227" s="7"/>
      <c r="D227" s="7" t="s">
        <v>348</v>
      </c>
      <c r="E227" s="7" t="s">
        <v>53</v>
      </c>
      <c r="F227" s="7"/>
      <c r="G227" s="7"/>
      <c r="H227" s="6" t="s">
        <v>53</v>
      </c>
      <c r="I227" s="16" t="s">
        <v>53</v>
      </c>
      <c r="J227" s="10" t="s">
        <v>53</v>
      </c>
      <c r="K227" s="10"/>
      <c r="L227" s="17">
        <v>150139.83</v>
      </c>
    </row>
    <row r="228" ht="154" customHeight="1" spans="1:12">
      <c r="A228" s="18">
        <v>182</v>
      </c>
      <c r="B228" s="19">
        <v>11201001027</v>
      </c>
      <c r="C228" s="7"/>
      <c r="D228" s="7" t="s">
        <v>342</v>
      </c>
      <c r="E228" s="7" t="s">
        <v>349</v>
      </c>
      <c r="F228" s="7"/>
      <c r="G228" s="7"/>
      <c r="H228" s="6" t="s">
        <v>93</v>
      </c>
      <c r="I228" s="17">
        <v>887.876</v>
      </c>
      <c r="J228" s="17">
        <v>32.35</v>
      </c>
      <c r="K228" s="10"/>
      <c r="L228" s="17">
        <v>28722.79</v>
      </c>
    </row>
    <row r="229" ht="125" customHeight="1" spans="1:12">
      <c r="A229" s="18">
        <v>183</v>
      </c>
      <c r="B229" s="19">
        <v>11201001028</v>
      </c>
      <c r="C229" s="7"/>
      <c r="D229" s="7" t="s">
        <v>342</v>
      </c>
      <c r="E229" s="7" t="s">
        <v>350</v>
      </c>
      <c r="F229" s="7"/>
      <c r="G229" s="7"/>
      <c r="H229" s="6" t="s">
        <v>93</v>
      </c>
      <c r="I229" s="17">
        <v>887.876</v>
      </c>
      <c r="J229" s="17">
        <v>17</v>
      </c>
      <c r="K229" s="10"/>
      <c r="L229" s="17">
        <v>15093.89</v>
      </c>
    </row>
    <row r="230" ht="154" customHeight="1" spans="1:12">
      <c r="A230" s="18">
        <v>184</v>
      </c>
      <c r="B230" s="19">
        <v>11203003004</v>
      </c>
      <c r="C230" s="7"/>
      <c r="D230" s="7" t="s">
        <v>351</v>
      </c>
      <c r="E230" s="7" t="s">
        <v>352</v>
      </c>
      <c r="F230" s="7"/>
      <c r="G230" s="7"/>
      <c r="H230" s="6" t="s">
        <v>93</v>
      </c>
      <c r="I230" s="17">
        <v>887.876</v>
      </c>
      <c r="J230" s="17">
        <v>119.75</v>
      </c>
      <c r="K230" s="10"/>
      <c r="L230" s="17">
        <v>106323.15</v>
      </c>
    </row>
    <row r="231" ht="51" customHeight="1" spans="1:12">
      <c r="A231" s="6" t="s">
        <v>53</v>
      </c>
      <c r="B231" s="7" t="s">
        <v>53</v>
      </c>
      <c r="C231" s="7"/>
      <c r="D231" s="7" t="s">
        <v>353</v>
      </c>
      <c r="E231" s="7" t="s">
        <v>53</v>
      </c>
      <c r="F231" s="7"/>
      <c r="G231" s="7"/>
      <c r="H231" s="6" t="s">
        <v>53</v>
      </c>
      <c r="I231" s="16" t="s">
        <v>53</v>
      </c>
      <c r="J231" s="10" t="s">
        <v>53</v>
      </c>
      <c r="K231" s="10"/>
      <c r="L231" s="17">
        <v>37674.81</v>
      </c>
    </row>
    <row r="232" ht="125" customHeight="1" spans="1:12">
      <c r="A232" s="18">
        <v>185</v>
      </c>
      <c r="B232" s="19">
        <v>11201001029</v>
      </c>
      <c r="C232" s="7"/>
      <c r="D232" s="7" t="s">
        <v>354</v>
      </c>
      <c r="E232" s="7" t="s">
        <v>355</v>
      </c>
      <c r="F232" s="7"/>
      <c r="G232" s="7"/>
      <c r="H232" s="6" t="s">
        <v>93</v>
      </c>
      <c r="I232" s="17">
        <v>211.68</v>
      </c>
      <c r="J232" s="17">
        <v>41.23</v>
      </c>
      <c r="K232" s="10"/>
      <c r="L232" s="17">
        <v>8727.57</v>
      </c>
    </row>
    <row r="233" ht="125" customHeight="1" spans="1:12">
      <c r="A233" s="18">
        <v>186</v>
      </c>
      <c r="B233" s="19">
        <v>11201001030</v>
      </c>
      <c r="C233" s="7"/>
      <c r="D233" s="7" t="s">
        <v>342</v>
      </c>
      <c r="E233" s="7" t="s">
        <v>350</v>
      </c>
      <c r="F233" s="7"/>
      <c r="G233" s="7"/>
      <c r="H233" s="6" t="s">
        <v>93</v>
      </c>
      <c r="I233" s="17">
        <v>211.68</v>
      </c>
      <c r="J233" s="17">
        <v>17</v>
      </c>
      <c r="K233" s="10"/>
      <c r="L233" s="17">
        <v>3598.56</v>
      </c>
    </row>
    <row r="234" ht="154" customHeight="1" spans="1:12">
      <c r="A234" s="18">
        <v>187</v>
      </c>
      <c r="B234" s="19">
        <v>11203003005</v>
      </c>
      <c r="C234" s="7"/>
      <c r="D234" s="7" t="s">
        <v>351</v>
      </c>
      <c r="E234" s="7" t="s">
        <v>352</v>
      </c>
      <c r="F234" s="7"/>
      <c r="G234" s="7"/>
      <c r="H234" s="6" t="s">
        <v>93</v>
      </c>
      <c r="I234" s="17">
        <v>211.68</v>
      </c>
      <c r="J234" s="17">
        <v>119.75</v>
      </c>
      <c r="K234" s="10"/>
      <c r="L234" s="17">
        <v>25348.68</v>
      </c>
    </row>
    <row r="235" ht="51" customHeight="1" spans="1:12">
      <c r="A235" s="6" t="s">
        <v>53</v>
      </c>
      <c r="B235" s="7" t="s">
        <v>53</v>
      </c>
      <c r="C235" s="7"/>
      <c r="D235" s="7" t="s">
        <v>356</v>
      </c>
      <c r="E235" s="7" t="s">
        <v>53</v>
      </c>
      <c r="F235" s="7"/>
      <c r="G235" s="7"/>
      <c r="H235" s="6" t="s">
        <v>53</v>
      </c>
      <c r="I235" s="16" t="s">
        <v>53</v>
      </c>
      <c r="J235" s="10" t="s">
        <v>53</v>
      </c>
      <c r="K235" s="10"/>
      <c r="L235" s="17">
        <v>535406.41</v>
      </c>
    </row>
    <row r="236" ht="154" customHeight="1" spans="1:12">
      <c r="A236" s="18">
        <v>188</v>
      </c>
      <c r="B236" s="19">
        <v>11205001006</v>
      </c>
      <c r="C236" s="7"/>
      <c r="D236" s="7" t="s">
        <v>357</v>
      </c>
      <c r="E236" s="7" t="s">
        <v>358</v>
      </c>
      <c r="F236" s="7"/>
      <c r="G236" s="7"/>
      <c r="H236" s="6" t="s">
        <v>93</v>
      </c>
      <c r="I236" s="17">
        <v>6633.706</v>
      </c>
      <c r="J236" s="17">
        <v>80.71</v>
      </c>
      <c r="K236" s="10"/>
      <c r="L236" s="17">
        <v>535406.41</v>
      </c>
    </row>
    <row r="237" ht="66" customHeight="1" spans="1:12">
      <c r="A237" s="6" t="s">
        <v>53</v>
      </c>
      <c r="B237" s="7" t="s">
        <v>53</v>
      </c>
      <c r="C237" s="7"/>
      <c r="D237" s="7" t="s">
        <v>359</v>
      </c>
      <c r="E237" s="7" t="s">
        <v>53</v>
      </c>
      <c r="F237" s="7"/>
      <c r="G237" s="7"/>
      <c r="H237" s="6" t="s">
        <v>53</v>
      </c>
      <c r="I237" s="16" t="s">
        <v>53</v>
      </c>
      <c r="J237" s="10" t="s">
        <v>53</v>
      </c>
      <c r="K237" s="10"/>
      <c r="L237" s="17">
        <v>219279.73</v>
      </c>
    </row>
    <row r="238" ht="125" customHeight="1" spans="1:12">
      <c r="A238" s="18">
        <v>189</v>
      </c>
      <c r="B238" s="19">
        <v>11201001031</v>
      </c>
      <c r="C238" s="7"/>
      <c r="D238" s="7" t="s">
        <v>342</v>
      </c>
      <c r="E238" s="7" t="s">
        <v>360</v>
      </c>
      <c r="F238" s="7"/>
      <c r="G238" s="7"/>
      <c r="H238" s="6" t="s">
        <v>93</v>
      </c>
      <c r="I238" s="17">
        <v>1991.099</v>
      </c>
      <c r="J238" s="17">
        <v>84.07</v>
      </c>
      <c r="K238" s="10"/>
      <c r="L238" s="17">
        <v>167391.69</v>
      </c>
    </row>
    <row r="239" ht="154" customHeight="1" spans="1:12">
      <c r="A239" s="18">
        <v>190</v>
      </c>
      <c r="B239" s="19">
        <v>11403003012</v>
      </c>
      <c r="C239" s="7"/>
      <c r="D239" s="7" t="s">
        <v>344</v>
      </c>
      <c r="E239" s="7" t="s">
        <v>361</v>
      </c>
      <c r="F239" s="7"/>
      <c r="G239" s="7"/>
      <c r="H239" s="6" t="s">
        <v>93</v>
      </c>
      <c r="I239" s="17">
        <v>1991.099</v>
      </c>
      <c r="J239" s="17">
        <v>26.06</v>
      </c>
      <c r="K239" s="10"/>
      <c r="L239" s="17">
        <v>51888.04</v>
      </c>
    </row>
    <row r="240" ht="36" customHeight="1" spans="1:12">
      <c r="A240" s="6" t="s">
        <v>53</v>
      </c>
      <c r="B240" s="7" t="s">
        <v>53</v>
      </c>
      <c r="C240" s="7"/>
      <c r="D240" s="7" t="s">
        <v>362</v>
      </c>
      <c r="E240" s="7" t="s">
        <v>53</v>
      </c>
      <c r="F240" s="7"/>
      <c r="G240" s="7"/>
      <c r="H240" s="6" t="s">
        <v>53</v>
      </c>
      <c r="I240" s="16" t="s">
        <v>53</v>
      </c>
      <c r="J240" s="10" t="s">
        <v>53</v>
      </c>
      <c r="K240" s="10"/>
      <c r="L240" s="17">
        <v>10530</v>
      </c>
    </row>
    <row r="241" ht="169" customHeight="1" spans="1:12">
      <c r="A241" s="18">
        <v>191</v>
      </c>
      <c r="B241" s="19">
        <v>11506003004</v>
      </c>
      <c r="C241" s="7"/>
      <c r="D241" s="7" t="s">
        <v>363</v>
      </c>
      <c r="E241" s="7" t="s">
        <v>364</v>
      </c>
      <c r="F241" s="7"/>
      <c r="G241" s="7"/>
      <c r="H241" s="6" t="s">
        <v>365</v>
      </c>
      <c r="I241" s="17">
        <v>200</v>
      </c>
      <c r="J241" s="17">
        <v>52.65</v>
      </c>
      <c r="K241" s="10"/>
      <c r="L241" s="17">
        <v>10530</v>
      </c>
    </row>
    <row r="242" ht="23" customHeight="1" spans="1:12">
      <c r="A242" s="6" t="s">
        <v>53</v>
      </c>
      <c r="B242" s="7" t="s">
        <v>53</v>
      </c>
      <c r="C242" s="7"/>
      <c r="D242" s="7" t="s">
        <v>366</v>
      </c>
      <c r="E242" s="7" t="s">
        <v>53</v>
      </c>
      <c r="F242" s="7"/>
      <c r="G242" s="7"/>
      <c r="H242" s="6" t="s">
        <v>53</v>
      </c>
      <c r="I242" s="16" t="s">
        <v>53</v>
      </c>
      <c r="J242" s="10" t="s">
        <v>53</v>
      </c>
      <c r="K242" s="10"/>
      <c r="L242" s="17">
        <v>6572.36</v>
      </c>
    </row>
    <row r="243" ht="154" customHeight="1" spans="1:12">
      <c r="A243" s="18">
        <v>192</v>
      </c>
      <c r="B243" s="19">
        <v>11201001032</v>
      </c>
      <c r="C243" s="7"/>
      <c r="D243" s="7" t="s">
        <v>367</v>
      </c>
      <c r="E243" s="7" t="s">
        <v>368</v>
      </c>
      <c r="F243" s="7"/>
      <c r="G243" s="7"/>
      <c r="H243" s="6" t="s">
        <v>93</v>
      </c>
      <c r="I243" s="17">
        <v>347.376</v>
      </c>
      <c r="J243" s="17">
        <v>16.3</v>
      </c>
      <c r="K243" s="10"/>
      <c r="L243" s="17">
        <v>5662.23</v>
      </c>
    </row>
    <row r="244" ht="125" customHeight="1" spans="1:12">
      <c r="A244" s="18">
        <v>193</v>
      </c>
      <c r="B244" s="19">
        <v>11201001033</v>
      </c>
      <c r="C244" s="7"/>
      <c r="D244" s="7" t="s">
        <v>369</v>
      </c>
      <c r="E244" s="7" t="s">
        <v>370</v>
      </c>
      <c r="F244" s="7"/>
      <c r="G244" s="7"/>
      <c r="H244" s="6" t="s">
        <v>93</v>
      </c>
      <c r="I244" s="17">
        <v>347.376</v>
      </c>
      <c r="J244" s="17">
        <v>2.62</v>
      </c>
      <c r="K244" s="10"/>
      <c r="L244" s="17">
        <v>910.13</v>
      </c>
    </row>
    <row r="245" ht="23" customHeight="1" spans="1:12">
      <c r="A245" s="6" t="s">
        <v>53</v>
      </c>
      <c r="B245" s="7" t="s">
        <v>53</v>
      </c>
      <c r="C245" s="7"/>
      <c r="D245" s="7" t="s">
        <v>371</v>
      </c>
      <c r="E245" s="7" t="s">
        <v>53</v>
      </c>
      <c r="F245" s="7"/>
      <c r="G245" s="7"/>
      <c r="H245" s="6" t="s">
        <v>53</v>
      </c>
      <c r="I245" s="16" t="s">
        <v>53</v>
      </c>
      <c r="J245" s="10" t="s">
        <v>53</v>
      </c>
      <c r="K245" s="10"/>
      <c r="L245" s="17">
        <v>1734893.86</v>
      </c>
    </row>
    <row r="246" ht="36" customHeight="1" spans="1:12">
      <c r="A246" s="6" t="s">
        <v>53</v>
      </c>
      <c r="B246" s="7" t="s">
        <v>53</v>
      </c>
      <c r="C246" s="7"/>
      <c r="D246" s="7" t="s">
        <v>372</v>
      </c>
      <c r="E246" s="7" t="s">
        <v>53</v>
      </c>
      <c r="F246" s="7"/>
      <c r="G246" s="7"/>
      <c r="H246" s="6" t="s">
        <v>53</v>
      </c>
      <c r="I246" s="16" t="s">
        <v>53</v>
      </c>
      <c r="J246" s="10" t="s">
        <v>53</v>
      </c>
      <c r="K246" s="10"/>
      <c r="L246" s="17">
        <v>14556.12</v>
      </c>
    </row>
    <row r="247" ht="198" customHeight="1" spans="1:12">
      <c r="A247" s="18">
        <v>194</v>
      </c>
      <c r="B247" s="19">
        <v>11201001034</v>
      </c>
      <c r="C247" s="7"/>
      <c r="D247" s="7" t="s">
        <v>342</v>
      </c>
      <c r="E247" s="7" t="s">
        <v>373</v>
      </c>
      <c r="F247" s="7"/>
      <c r="G247" s="7"/>
      <c r="H247" s="6" t="s">
        <v>93</v>
      </c>
      <c r="I247" s="17">
        <v>127.484</v>
      </c>
      <c r="J247" s="17">
        <v>46.62</v>
      </c>
      <c r="K247" s="10"/>
      <c r="L247" s="17">
        <v>5943.3</v>
      </c>
    </row>
    <row r="248" ht="125" customHeight="1" spans="1:12">
      <c r="A248" s="18">
        <v>195</v>
      </c>
      <c r="B248" s="19">
        <v>11201001035</v>
      </c>
      <c r="C248" s="7"/>
      <c r="D248" s="7" t="s">
        <v>342</v>
      </c>
      <c r="E248" s="7" t="s">
        <v>350</v>
      </c>
      <c r="F248" s="7"/>
      <c r="G248" s="7"/>
      <c r="H248" s="6" t="s">
        <v>93</v>
      </c>
      <c r="I248" s="17">
        <v>127.484</v>
      </c>
      <c r="J248" s="17">
        <v>17</v>
      </c>
      <c r="K248" s="10"/>
      <c r="L248" s="17">
        <v>2167.23</v>
      </c>
    </row>
    <row r="249" ht="213" customHeight="1" spans="1:12">
      <c r="A249" s="18">
        <v>196</v>
      </c>
      <c r="B249" s="19">
        <v>11403001004</v>
      </c>
      <c r="C249" s="7"/>
      <c r="D249" s="7" t="s">
        <v>344</v>
      </c>
      <c r="E249" s="7" t="s">
        <v>374</v>
      </c>
      <c r="F249" s="7"/>
      <c r="G249" s="7"/>
      <c r="H249" s="6" t="s">
        <v>93</v>
      </c>
      <c r="I249" s="17">
        <v>127.484</v>
      </c>
      <c r="J249" s="17">
        <v>50.56</v>
      </c>
      <c r="K249" s="10"/>
      <c r="L249" s="17">
        <v>6445.59</v>
      </c>
    </row>
    <row r="250" ht="66" customHeight="1" spans="1:12">
      <c r="A250" s="6" t="s">
        <v>53</v>
      </c>
      <c r="B250" s="7" t="s">
        <v>53</v>
      </c>
      <c r="C250" s="7"/>
      <c r="D250" s="7" t="s">
        <v>375</v>
      </c>
      <c r="E250" s="7" t="s">
        <v>53</v>
      </c>
      <c r="F250" s="7"/>
      <c r="G250" s="7"/>
      <c r="H250" s="6" t="s">
        <v>53</v>
      </c>
      <c r="I250" s="16" t="s">
        <v>53</v>
      </c>
      <c r="J250" s="10" t="s">
        <v>53</v>
      </c>
      <c r="K250" s="10"/>
      <c r="L250" s="17">
        <v>228943.12</v>
      </c>
    </row>
    <row r="251" ht="198" customHeight="1" spans="1:12">
      <c r="A251" s="18">
        <v>197</v>
      </c>
      <c r="B251" s="19">
        <v>11201001036</v>
      </c>
      <c r="C251" s="7"/>
      <c r="D251" s="7" t="s">
        <v>342</v>
      </c>
      <c r="E251" s="7" t="s">
        <v>373</v>
      </c>
      <c r="F251" s="7"/>
      <c r="G251" s="7"/>
      <c r="H251" s="6" t="s">
        <v>93</v>
      </c>
      <c r="I251" s="17">
        <v>2005.107</v>
      </c>
      <c r="J251" s="17">
        <v>46.62</v>
      </c>
      <c r="K251" s="10"/>
      <c r="L251" s="17">
        <v>93478.09</v>
      </c>
    </row>
    <row r="252" ht="125" customHeight="1" spans="1:12">
      <c r="A252" s="18">
        <v>198</v>
      </c>
      <c r="B252" s="19">
        <v>11201001037</v>
      </c>
      <c r="C252" s="7"/>
      <c r="D252" s="7" t="s">
        <v>342</v>
      </c>
      <c r="E252" s="7" t="s">
        <v>350</v>
      </c>
      <c r="F252" s="7"/>
      <c r="G252" s="7"/>
      <c r="H252" s="6" t="s">
        <v>93</v>
      </c>
      <c r="I252" s="17">
        <v>2005.107</v>
      </c>
      <c r="J252" s="17">
        <v>17</v>
      </c>
      <c r="K252" s="10"/>
      <c r="L252" s="17">
        <v>34086.82</v>
      </c>
    </row>
    <row r="253" ht="169" customHeight="1" spans="1:12">
      <c r="A253" s="18">
        <v>199</v>
      </c>
      <c r="B253" s="19">
        <v>11403001005</v>
      </c>
      <c r="C253" s="7"/>
      <c r="D253" s="7" t="s">
        <v>344</v>
      </c>
      <c r="E253" s="7" t="s">
        <v>376</v>
      </c>
      <c r="F253" s="7"/>
      <c r="G253" s="7"/>
      <c r="H253" s="6" t="s">
        <v>93</v>
      </c>
      <c r="I253" s="17">
        <v>2005.107</v>
      </c>
      <c r="J253" s="17">
        <v>50.56</v>
      </c>
      <c r="K253" s="10"/>
      <c r="L253" s="17">
        <v>101378.21</v>
      </c>
    </row>
    <row r="254" ht="36" customHeight="1" spans="1:12">
      <c r="A254" s="6" t="s">
        <v>53</v>
      </c>
      <c r="B254" s="7" t="s">
        <v>53</v>
      </c>
      <c r="C254" s="7"/>
      <c r="D254" s="7" t="s">
        <v>377</v>
      </c>
      <c r="E254" s="7" t="s">
        <v>53</v>
      </c>
      <c r="F254" s="7"/>
      <c r="G254" s="7"/>
      <c r="H254" s="6" t="s">
        <v>53</v>
      </c>
      <c r="I254" s="16" t="s">
        <v>53</v>
      </c>
      <c r="J254" s="10" t="s">
        <v>53</v>
      </c>
      <c r="K254" s="10"/>
      <c r="L254" s="17">
        <v>1449973.49</v>
      </c>
    </row>
    <row r="255" ht="198" customHeight="1" spans="1:12">
      <c r="A255" s="18">
        <v>200</v>
      </c>
      <c r="B255" s="19">
        <v>11205001007</v>
      </c>
      <c r="C255" s="7"/>
      <c r="D255" s="7" t="s">
        <v>378</v>
      </c>
      <c r="E255" s="7" t="s">
        <v>379</v>
      </c>
      <c r="F255" s="7"/>
      <c r="G255" s="7"/>
      <c r="H255" s="6" t="s">
        <v>93</v>
      </c>
      <c r="I255" s="17">
        <v>11623.034</v>
      </c>
      <c r="J255" s="17">
        <v>124.75</v>
      </c>
      <c r="K255" s="10"/>
      <c r="L255" s="17">
        <v>1449973.49</v>
      </c>
    </row>
    <row r="256" ht="23" customHeight="1" spans="1:12">
      <c r="A256" s="6" t="s">
        <v>53</v>
      </c>
      <c r="B256" s="7" t="s">
        <v>53</v>
      </c>
      <c r="C256" s="7"/>
      <c r="D256" s="7" t="s">
        <v>380</v>
      </c>
      <c r="E256" s="7" t="s">
        <v>53</v>
      </c>
      <c r="F256" s="7"/>
      <c r="G256" s="7"/>
      <c r="H256" s="6" t="s">
        <v>53</v>
      </c>
      <c r="I256" s="16" t="s">
        <v>53</v>
      </c>
      <c r="J256" s="10" t="s">
        <v>53</v>
      </c>
      <c r="K256" s="10"/>
      <c r="L256" s="17">
        <v>41421.13</v>
      </c>
    </row>
    <row r="257" ht="154" customHeight="1" spans="1:12">
      <c r="A257" s="18">
        <v>201</v>
      </c>
      <c r="B257" s="19">
        <v>11201001038</v>
      </c>
      <c r="C257" s="7"/>
      <c r="D257" s="7" t="s">
        <v>381</v>
      </c>
      <c r="E257" s="7" t="s">
        <v>368</v>
      </c>
      <c r="F257" s="7"/>
      <c r="G257" s="7"/>
      <c r="H257" s="6" t="s">
        <v>93</v>
      </c>
      <c r="I257" s="17">
        <v>1971.496</v>
      </c>
      <c r="J257" s="17">
        <v>16.3</v>
      </c>
      <c r="K257" s="10"/>
      <c r="L257" s="17">
        <v>32135.38</v>
      </c>
    </row>
    <row r="258" ht="125" customHeight="1" spans="1:12">
      <c r="A258" s="18">
        <v>202</v>
      </c>
      <c r="B258" s="19">
        <v>11201001039</v>
      </c>
      <c r="C258" s="7"/>
      <c r="D258" s="7" t="s">
        <v>382</v>
      </c>
      <c r="E258" s="7" t="s">
        <v>370</v>
      </c>
      <c r="F258" s="7"/>
      <c r="G258" s="7"/>
      <c r="H258" s="6" t="s">
        <v>93</v>
      </c>
      <c r="I258" s="17">
        <v>1971.496</v>
      </c>
      <c r="J258" s="17">
        <v>4.71</v>
      </c>
      <c r="K258" s="10"/>
      <c r="L258" s="17">
        <v>9285.75</v>
      </c>
    </row>
    <row r="259" ht="23" customHeight="1" spans="1:12">
      <c r="A259" s="6" t="s">
        <v>53</v>
      </c>
      <c r="B259" s="7" t="s">
        <v>53</v>
      </c>
      <c r="C259" s="7"/>
      <c r="D259" s="7" t="s">
        <v>34</v>
      </c>
      <c r="E259" s="7" t="s">
        <v>53</v>
      </c>
      <c r="F259" s="7"/>
      <c r="G259" s="7"/>
      <c r="H259" s="6" t="s">
        <v>53</v>
      </c>
      <c r="I259" s="16" t="s">
        <v>53</v>
      </c>
      <c r="J259" s="10" t="s">
        <v>53</v>
      </c>
      <c r="K259" s="10"/>
      <c r="L259" s="17">
        <v>1331350.37</v>
      </c>
    </row>
    <row r="260" ht="36" customHeight="1" spans="1:12">
      <c r="A260" s="6" t="s">
        <v>53</v>
      </c>
      <c r="B260" s="7" t="s">
        <v>53</v>
      </c>
      <c r="C260" s="7"/>
      <c r="D260" s="7" t="s">
        <v>383</v>
      </c>
      <c r="E260" s="7" t="s">
        <v>53</v>
      </c>
      <c r="F260" s="7"/>
      <c r="G260" s="7"/>
      <c r="H260" s="6" t="s">
        <v>53</v>
      </c>
      <c r="I260" s="16" t="s">
        <v>53</v>
      </c>
      <c r="J260" s="10" t="s">
        <v>53</v>
      </c>
      <c r="K260" s="10"/>
      <c r="L260" s="17">
        <v>812680.86</v>
      </c>
    </row>
    <row r="261" ht="125" customHeight="1" spans="1:12">
      <c r="A261" s="18">
        <v>203</v>
      </c>
      <c r="B261" s="19">
        <v>11403003013</v>
      </c>
      <c r="C261" s="7"/>
      <c r="D261" s="7" t="s">
        <v>384</v>
      </c>
      <c r="E261" s="7" t="s">
        <v>385</v>
      </c>
      <c r="F261" s="7"/>
      <c r="G261" s="7"/>
      <c r="H261" s="6" t="s">
        <v>93</v>
      </c>
      <c r="I261" s="17">
        <v>20595.055</v>
      </c>
      <c r="J261" s="17">
        <v>1.54</v>
      </c>
      <c r="K261" s="10"/>
      <c r="L261" s="17">
        <v>31716.38</v>
      </c>
    </row>
    <row r="262" ht="125" customHeight="1" spans="1:12">
      <c r="A262" s="18">
        <v>204</v>
      </c>
      <c r="B262" s="19">
        <v>11403003014</v>
      </c>
      <c r="C262" s="7"/>
      <c r="D262" s="7" t="s">
        <v>386</v>
      </c>
      <c r="E262" s="7" t="s">
        <v>387</v>
      </c>
      <c r="F262" s="7"/>
      <c r="G262" s="7"/>
      <c r="H262" s="6" t="s">
        <v>93</v>
      </c>
      <c r="I262" s="17">
        <v>20595.055</v>
      </c>
      <c r="J262" s="17">
        <v>15.49</v>
      </c>
      <c r="K262" s="10"/>
      <c r="L262" s="17">
        <v>319017.4</v>
      </c>
    </row>
    <row r="263" ht="139" customHeight="1" spans="1:12">
      <c r="A263" s="18">
        <v>205</v>
      </c>
      <c r="B263" s="19">
        <v>11404002004</v>
      </c>
      <c r="C263" s="7"/>
      <c r="D263" s="7" t="s">
        <v>388</v>
      </c>
      <c r="E263" s="7" t="s">
        <v>389</v>
      </c>
      <c r="F263" s="7"/>
      <c r="G263" s="7"/>
      <c r="H263" s="6" t="s">
        <v>93</v>
      </c>
      <c r="I263" s="17">
        <v>20595.055</v>
      </c>
      <c r="J263" s="17">
        <v>22.43</v>
      </c>
      <c r="K263" s="10"/>
      <c r="L263" s="17">
        <v>461947.08</v>
      </c>
    </row>
    <row r="264" ht="66" customHeight="1" spans="1:12">
      <c r="A264" s="6" t="s">
        <v>53</v>
      </c>
      <c r="B264" s="7" t="s">
        <v>53</v>
      </c>
      <c r="C264" s="7"/>
      <c r="D264" s="7" t="s">
        <v>390</v>
      </c>
      <c r="E264" s="7" t="s">
        <v>53</v>
      </c>
      <c r="F264" s="7"/>
      <c r="G264" s="7"/>
      <c r="H264" s="6" t="s">
        <v>53</v>
      </c>
      <c r="I264" s="16" t="s">
        <v>53</v>
      </c>
      <c r="J264" s="10" t="s">
        <v>53</v>
      </c>
      <c r="K264" s="10"/>
      <c r="L264" s="17">
        <v>310352.48</v>
      </c>
    </row>
    <row r="265" ht="125" customHeight="1" spans="1:12">
      <c r="A265" s="18">
        <v>206</v>
      </c>
      <c r="B265" s="19">
        <v>11403003015</v>
      </c>
      <c r="C265" s="7"/>
      <c r="D265" s="7" t="s">
        <v>384</v>
      </c>
      <c r="E265" s="7" t="s">
        <v>385</v>
      </c>
      <c r="F265" s="7"/>
      <c r="G265" s="7"/>
      <c r="H265" s="6" t="s">
        <v>93</v>
      </c>
      <c r="I265" s="17">
        <v>7471.172</v>
      </c>
      <c r="J265" s="17">
        <v>1.54</v>
      </c>
      <c r="K265" s="10"/>
      <c r="L265" s="17">
        <v>11505.6</v>
      </c>
    </row>
    <row r="266" ht="169" customHeight="1" spans="1:12">
      <c r="A266" s="18">
        <v>207</v>
      </c>
      <c r="B266" s="19">
        <v>11404002005</v>
      </c>
      <c r="C266" s="7"/>
      <c r="D266" s="7" t="s">
        <v>388</v>
      </c>
      <c r="E266" s="7" t="s">
        <v>391</v>
      </c>
      <c r="F266" s="7"/>
      <c r="G266" s="7"/>
      <c r="H266" s="6" t="s">
        <v>93</v>
      </c>
      <c r="I266" s="17">
        <v>7471.172</v>
      </c>
      <c r="J266" s="17">
        <v>40</v>
      </c>
      <c r="K266" s="10"/>
      <c r="L266" s="17">
        <v>298846.88</v>
      </c>
    </row>
    <row r="267" ht="36" customHeight="1" spans="1:12">
      <c r="A267" s="6" t="s">
        <v>53</v>
      </c>
      <c r="B267" s="7" t="s">
        <v>53</v>
      </c>
      <c r="C267" s="7"/>
      <c r="D267" s="7" t="s">
        <v>392</v>
      </c>
      <c r="E267" s="7" t="s">
        <v>393</v>
      </c>
      <c r="F267" s="7"/>
      <c r="G267" s="7"/>
      <c r="H267" s="6" t="s">
        <v>53</v>
      </c>
      <c r="I267" s="16" t="s">
        <v>53</v>
      </c>
      <c r="J267" s="10" t="s">
        <v>53</v>
      </c>
      <c r="K267" s="10"/>
      <c r="L267" s="17">
        <v>68149.27</v>
      </c>
    </row>
    <row r="268" ht="154" customHeight="1" spans="1:12">
      <c r="A268" s="18">
        <v>208</v>
      </c>
      <c r="B268" s="19">
        <v>11302001004</v>
      </c>
      <c r="C268" s="7"/>
      <c r="D268" s="7" t="s">
        <v>394</v>
      </c>
      <c r="E268" s="7" t="s">
        <v>395</v>
      </c>
      <c r="F268" s="7"/>
      <c r="G268" s="7"/>
      <c r="H268" s="6" t="s">
        <v>93</v>
      </c>
      <c r="I268" s="17">
        <v>341.2</v>
      </c>
      <c r="J268" s="17">
        <v>133.92</v>
      </c>
      <c r="K268" s="10"/>
      <c r="L268" s="17">
        <v>45693.5</v>
      </c>
    </row>
    <row r="269" ht="183" customHeight="1" spans="1:12">
      <c r="A269" s="18">
        <v>209</v>
      </c>
      <c r="B269" s="19">
        <v>11302001005</v>
      </c>
      <c r="C269" s="7"/>
      <c r="D269" s="7" t="s">
        <v>396</v>
      </c>
      <c r="E269" s="7" t="s">
        <v>397</v>
      </c>
      <c r="F269" s="7"/>
      <c r="G269" s="7"/>
      <c r="H269" s="6" t="s">
        <v>154</v>
      </c>
      <c r="I269" s="17">
        <v>3.214</v>
      </c>
      <c r="J269" s="17">
        <v>6986.86</v>
      </c>
      <c r="K269" s="10"/>
      <c r="L269" s="17">
        <v>22455.77</v>
      </c>
    </row>
    <row r="270" ht="51" customHeight="1" spans="1:12">
      <c r="A270" s="6" t="s">
        <v>53</v>
      </c>
      <c r="B270" s="7" t="s">
        <v>53</v>
      </c>
      <c r="C270" s="7"/>
      <c r="D270" s="7" t="s">
        <v>398</v>
      </c>
      <c r="E270" s="7" t="s">
        <v>399</v>
      </c>
      <c r="F270" s="7"/>
      <c r="G270" s="7"/>
      <c r="H270" s="6" t="s">
        <v>53</v>
      </c>
      <c r="I270" s="16" t="s">
        <v>53</v>
      </c>
      <c r="J270" s="10" t="s">
        <v>53</v>
      </c>
      <c r="K270" s="10"/>
      <c r="L270" s="17">
        <v>140167.76</v>
      </c>
    </row>
    <row r="271" ht="213" customHeight="1" spans="1:12">
      <c r="A271" s="18">
        <v>210</v>
      </c>
      <c r="B271" s="19">
        <v>11302001006</v>
      </c>
      <c r="C271" s="7"/>
      <c r="D271" s="7" t="s">
        <v>394</v>
      </c>
      <c r="E271" s="7" t="s">
        <v>400</v>
      </c>
      <c r="F271" s="7"/>
      <c r="G271" s="7"/>
      <c r="H271" s="6" t="s">
        <v>93</v>
      </c>
      <c r="I271" s="17">
        <v>652.72</v>
      </c>
      <c r="J271" s="17">
        <v>148.93</v>
      </c>
      <c r="K271" s="10"/>
      <c r="L271" s="17">
        <v>97209.59</v>
      </c>
    </row>
    <row r="272" ht="183" customHeight="1" spans="1:12">
      <c r="A272" s="18">
        <v>211</v>
      </c>
      <c r="B272" s="19">
        <v>11302001007</v>
      </c>
      <c r="C272" s="7"/>
      <c r="D272" s="7" t="s">
        <v>396</v>
      </c>
      <c r="E272" s="7" t="s">
        <v>397</v>
      </c>
      <c r="F272" s="7"/>
      <c r="G272" s="7"/>
      <c r="H272" s="6" t="s">
        <v>154</v>
      </c>
      <c r="I272" s="17">
        <v>6.148</v>
      </c>
      <c r="J272" s="17">
        <v>6987.34</v>
      </c>
      <c r="K272" s="10"/>
      <c r="L272" s="17">
        <v>42958.17</v>
      </c>
    </row>
    <row r="273" ht="23" customHeight="1" spans="1:12">
      <c r="A273" s="6" t="s">
        <v>53</v>
      </c>
      <c r="B273" s="7" t="s">
        <v>53</v>
      </c>
      <c r="C273" s="7"/>
      <c r="D273" s="7" t="s">
        <v>37</v>
      </c>
      <c r="E273" s="7" t="s">
        <v>53</v>
      </c>
      <c r="F273" s="7"/>
      <c r="G273" s="7"/>
      <c r="H273" s="6" t="s">
        <v>53</v>
      </c>
      <c r="I273" s="16" t="s">
        <v>53</v>
      </c>
      <c r="J273" s="10" t="s">
        <v>53</v>
      </c>
      <c r="K273" s="10"/>
      <c r="L273" s="17">
        <v>2471172.77</v>
      </c>
    </row>
    <row r="274" ht="169" customHeight="1" spans="1:12">
      <c r="A274" s="18">
        <v>212</v>
      </c>
      <c r="B274" s="19">
        <v>10802004003</v>
      </c>
      <c r="C274" s="7"/>
      <c r="D274" s="7" t="s">
        <v>401</v>
      </c>
      <c r="E274" s="7" t="s">
        <v>402</v>
      </c>
      <c r="F274" s="7"/>
      <c r="G274" s="7"/>
      <c r="H274" s="6" t="s">
        <v>93</v>
      </c>
      <c r="I274" s="17">
        <v>65.06</v>
      </c>
      <c r="J274" s="17">
        <v>340.9</v>
      </c>
      <c r="K274" s="10"/>
      <c r="L274" s="17">
        <v>22178.95</v>
      </c>
    </row>
    <row r="275" ht="169" customHeight="1" spans="1:12">
      <c r="A275" s="18">
        <v>213</v>
      </c>
      <c r="B275" s="19">
        <v>10802004004</v>
      </c>
      <c r="C275" s="7"/>
      <c r="D275" s="7" t="s">
        <v>403</v>
      </c>
      <c r="E275" s="7" t="s">
        <v>404</v>
      </c>
      <c r="F275" s="7"/>
      <c r="G275" s="7"/>
      <c r="H275" s="6" t="s">
        <v>93</v>
      </c>
      <c r="I275" s="17">
        <v>39.6</v>
      </c>
      <c r="J275" s="17">
        <v>345.28</v>
      </c>
      <c r="K275" s="10"/>
      <c r="L275" s="17">
        <v>13673.09</v>
      </c>
    </row>
    <row r="276" ht="125" customHeight="1" spans="1:12">
      <c r="A276" s="18">
        <v>214</v>
      </c>
      <c r="B276" s="19">
        <v>10802002006</v>
      </c>
      <c r="C276" s="7"/>
      <c r="D276" s="7" t="s">
        <v>405</v>
      </c>
      <c r="E276" s="7" t="s">
        <v>406</v>
      </c>
      <c r="F276" s="7"/>
      <c r="G276" s="7"/>
      <c r="H276" s="6" t="s">
        <v>93</v>
      </c>
      <c r="I276" s="17">
        <v>360</v>
      </c>
      <c r="J276" s="17">
        <v>422.82</v>
      </c>
      <c r="K276" s="10"/>
      <c r="L276" s="17">
        <v>152215.2</v>
      </c>
    </row>
    <row r="277" ht="125" customHeight="1" spans="1:12">
      <c r="A277" s="18">
        <v>215</v>
      </c>
      <c r="B277" s="19">
        <v>10802002007</v>
      </c>
      <c r="C277" s="7"/>
      <c r="D277" s="7" t="s">
        <v>407</v>
      </c>
      <c r="E277" s="7" t="s">
        <v>408</v>
      </c>
      <c r="F277" s="7"/>
      <c r="G277" s="7"/>
      <c r="H277" s="6" t="s">
        <v>93</v>
      </c>
      <c r="I277" s="17">
        <v>37.18</v>
      </c>
      <c r="J277" s="17">
        <v>505.38</v>
      </c>
      <c r="K277" s="10"/>
      <c r="L277" s="17">
        <v>18790.03</v>
      </c>
    </row>
    <row r="278" ht="125" customHeight="1" spans="1:12">
      <c r="A278" s="18">
        <v>216</v>
      </c>
      <c r="B278" s="19">
        <v>10802002008</v>
      </c>
      <c r="C278" s="7"/>
      <c r="D278" s="7" t="s">
        <v>409</v>
      </c>
      <c r="E278" s="7" t="s">
        <v>410</v>
      </c>
      <c r="F278" s="7"/>
      <c r="G278" s="7"/>
      <c r="H278" s="6" t="s">
        <v>93</v>
      </c>
      <c r="I278" s="17">
        <v>35.2</v>
      </c>
      <c r="J278" s="17">
        <v>525.69</v>
      </c>
      <c r="K278" s="10"/>
      <c r="L278" s="17">
        <v>18504.29</v>
      </c>
    </row>
    <row r="279" ht="125" customHeight="1" spans="1:12">
      <c r="A279" s="18">
        <v>217</v>
      </c>
      <c r="B279" s="19">
        <v>10802002009</v>
      </c>
      <c r="C279" s="7"/>
      <c r="D279" s="7" t="s">
        <v>411</v>
      </c>
      <c r="E279" s="7" t="s">
        <v>412</v>
      </c>
      <c r="F279" s="7"/>
      <c r="G279" s="7"/>
      <c r="H279" s="6" t="s">
        <v>93</v>
      </c>
      <c r="I279" s="17">
        <v>1104</v>
      </c>
      <c r="J279" s="17">
        <v>1054.31</v>
      </c>
      <c r="K279" s="10"/>
      <c r="L279" s="17">
        <v>1163958.24</v>
      </c>
    </row>
    <row r="280" ht="183" customHeight="1" spans="1:12">
      <c r="A280" s="18">
        <v>218</v>
      </c>
      <c r="B280" s="19">
        <v>10802002010</v>
      </c>
      <c r="C280" s="7"/>
      <c r="D280" s="7" t="s">
        <v>413</v>
      </c>
      <c r="E280" s="7" t="s">
        <v>414</v>
      </c>
      <c r="F280" s="7"/>
      <c r="G280" s="7"/>
      <c r="H280" s="6" t="s">
        <v>93</v>
      </c>
      <c r="I280" s="17">
        <v>264.03</v>
      </c>
      <c r="J280" s="17">
        <v>544.75</v>
      </c>
      <c r="K280" s="10"/>
      <c r="L280" s="17">
        <v>143830.34</v>
      </c>
    </row>
    <row r="281" ht="183" customHeight="1" spans="1:12">
      <c r="A281" s="18">
        <v>219</v>
      </c>
      <c r="B281" s="19">
        <v>10807001010</v>
      </c>
      <c r="C281" s="7"/>
      <c r="D281" s="7" t="s">
        <v>415</v>
      </c>
      <c r="E281" s="7" t="s">
        <v>416</v>
      </c>
      <c r="F281" s="7"/>
      <c r="G281" s="7"/>
      <c r="H281" s="6" t="s">
        <v>93</v>
      </c>
      <c r="I281" s="17">
        <v>25.56</v>
      </c>
      <c r="J281" s="17">
        <v>448.62</v>
      </c>
      <c r="K281" s="10"/>
      <c r="L281" s="17">
        <v>11466.73</v>
      </c>
    </row>
    <row r="282" ht="183" customHeight="1" spans="1:12">
      <c r="A282" s="18">
        <v>220</v>
      </c>
      <c r="B282" s="19">
        <v>10807001011</v>
      </c>
      <c r="C282" s="7"/>
      <c r="D282" s="7" t="s">
        <v>417</v>
      </c>
      <c r="E282" s="7" t="s">
        <v>418</v>
      </c>
      <c r="F282" s="7"/>
      <c r="G282" s="7"/>
      <c r="H282" s="6" t="s">
        <v>93</v>
      </c>
      <c r="I282" s="17">
        <v>801.075</v>
      </c>
      <c r="J282" s="17">
        <v>585.96</v>
      </c>
      <c r="K282" s="10"/>
      <c r="L282" s="17">
        <v>469397.91</v>
      </c>
    </row>
    <row r="283" ht="139" customHeight="1" spans="1:12">
      <c r="A283" s="18">
        <v>221</v>
      </c>
      <c r="B283" s="19">
        <v>10807003003</v>
      </c>
      <c r="C283" s="7"/>
      <c r="D283" s="7" t="s">
        <v>419</v>
      </c>
      <c r="E283" s="7" t="s">
        <v>420</v>
      </c>
      <c r="F283" s="7"/>
      <c r="G283" s="7"/>
      <c r="H283" s="6" t="s">
        <v>93</v>
      </c>
      <c r="I283" s="17">
        <v>156.8</v>
      </c>
      <c r="J283" s="17">
        <v>354.24</v>
      </c>
      <c r="K283" s="10"/>
      <c r="L283" s="17">
        <v>55544.83</v>
      </c>
    </row>
    <row r="284" ht="110" customHeight="1" spans="1:12">
      <c r="A284" s="18">
        <v>222</v>
      </c>
      <c r="B284" s="19">
        <v>10807001012</v>
      </c>
      <c r="C284" s="7"/>
      <c r="D284" s="7" t="s">
        <v>421</v>
      </c>
      <c r="E284" s="7" t="s">
        <v>422</v>
      </c>
      <c r="F284" s="7"/>
      <c r="G284" s="7"/>
      <c r="H284" s="6" t="s">
        <v>93</v>
      </c>
      <c r="I284" s="17">
        <v>2</v>
      </c>
      <c r="J284" s="17">
        <v>256.26</v>
      </c>
      <c r="K284" s="10"/>
      <c r="L284" s="17">
        <v>512.52</v>
      </c>
    </row>
    <row r="285" ht="110" customHeight="1" spans="1:12">
      <c r="A285" s="18">
        <v>223</v>
      </c>
      <c r="B285" s="19">
        <v>10807001013</v>
      </c>
      <c r="C285" s="7"/>
      <c r="D285" s="7" t="s">
        <v>423</v>
      </c>
      <c r="E285" s="7" t="s">
        <v>424</v>
      </c>
      <c r="F285" s="7"/>
      <c r="G285" s="7"/>
      <c r="H285" s="6" t="s">
        <v>93</v>
      </c>
      <c r="I285" s="17">
        <v>2</v>
      </c>
      <c r="J285" s="17">
        <v>457.6</v>
      </c>
      <c r="K285" s="10"/>
      <c r="L285" s="17">
        <v>915.2</v>
      </c>
    </row>
    <row r="286" ht="110" customHeight="1" spans="1:12">
      <c r="A286" s="18">
        <v>224</v>
      </c>
      <c r="B286" s="19">
        <v>10807001014</v>
      </c>
      <c r="C286" s="7"/>
      <c r="D286" s="7" t="s">
        <v>425</v>
      </c>
      <c r="E286" s="7" t="s">
        <v>426</v>
      </c>
      <c r="F286" s="7"/>
      <c r="G286" s="7"/>
      <c r="H286" s="6" t="s">
        <v>93</v>
      </c>
      <c r="I286" s="17">
        <v>61</v>
      </c>
      <c r="J286" s="17">
        <v>732.16</v>
      </c>
      <c r="K286" s="10"/>
      <c r="L286" s="17">
        <v>44661.76</v>
      </c>
    </row>
    <row r="287" ht="110" customHeight="1" spans="1:12">
      <c r="A287" s="18">
        <v>225</v>
      </c>
      <c r="B287" s="19">
        <v>10807001015</v>
      </c>
      <c r="C287" s="7"/>
      <c r="D287" s="7" t="s">
        <v>427</v>
      </c>
      <c r="E287" s="7" t="s">
        <v>428</v>
      </c>
      <c r="F287" s="7"/>
      <c r="G287" s="7"/>
      <c r="H287" s="6" t="s">
        <v>93</v>
      </c>
      <c r="I287" s="17">
        <v>3</v>
      </c>
      <c r="J287" s="17">
        <v>869.44</v>
      </c>
      <c r="K287" s="10"/>
      <c r="L287" s="17">
        <v>2608.32</v>
      </c>
    </row>
    <row r="288" ht="110" customHeight="1" spans="1:12">
      <c r="A288" s="18">
        <v>226</v>
      </c>
      <c r="B288" s="19">
        <v>10807001016</v>
      </c>
      <c r="C288" s="7"/>
      <c r="D288" s="7" t="s">
        <v>429</v>
      </c>
      <c r="E288" s="7" t="s">
        <v>430</v>
      </c>
      <c r="F288" s="7"/>
      <c r="G288" s="7"/>
      <c r="H288" s="6" t="s">
        <v>93</v>
      </c>
      <c r="I288" s="17">
        <v>28</v>
      </c>
      <c r="J288" s="17">
        <v>1006.72</v>
      </c>
      <c r="K288" s="10"/>
      <c r="L288" s="17">
        <v>28188.16</v>
      </c>
    </row>
    <row r="289" ht="198" customHeight="1" spans="1:12">
      <c r="A289" s="18">
        <v>227</v>
      </c>
      <c r="B289" s="19">
        <v>10807001017</v>
      </c>
      <c r="C289" s="7"/>
      <c r="D289" s="7" t="s">
        <v>431</v>
      </c>
      <c r="E289" s="7" t="s">
        <v>432</v>
      </c>
      <c r="F289" s="7"/>
      <c r="G289" s="7"/>
      <c r="H289" s="6" t="s">
        <v>93</v>
      </c>
      <c r="I289" s="17">
        <v>336</v>
      </c>
      <c r="J289" s="17">
        <v>966.45</v>
      </c>
      <c r="K289" s="10"/>
      <c r="L289" s="17">
        <v>324727.2</v>
      </c>
    </row>
    <row r="290" ht="23" customHeight="1" spans="1:12">
      <c r="A290" s="6" t="s">
        <v>53</v>
      </c>
      <c r="B290" s="7" t="s">
        <v>53</v>
      </c>
      <c r="C290" s="7"/>
      <c r="D290" s="7" t="s">
        <v>40</v>
      </c>
      <c r="E290" s="7" t="s">
        <v>53</v>
      </c>
      <c r="F290" s="7"/>
      <c r="G290" s="7"/>
      <c r="H290" s="6" t="s">
        <v>53</v>
      </c>
      <c r="I290" s="16" t="s">
        <v>53</v>
      </c>
      <c r="J290" s="10" t="s">
        <v>53</v>
      </c>
      <c r="K290" s="10"/>
      <c r="L290" s="17">
        <v>482662.56</v>
      </c>
    </row>
    <row r="291" ht="36" customHeight="1" spans="1:12">
      <c r="A291" s="6" t="s">
        <v>53</v>
      </c>
      <c r="B291" s="7" t="s">
        <v>53</v>
      </c>
      <c r="C291" s="7"/>
      <c r="D291" s="7" t="s">
        <v>433</v>
      </c>
      <c r="E291" s="7" t="s">
        <v>53</v>
      </c>
      <c r="F291" s="7"/>
      <c r="G291" s="7"/>
      <c r="H291" s="6" t="s">
        <v>53</v>
      </c>
      <c r="I291" s="16" t="s">
        <v>53</v>
      </c>
      <c r="J291" s="10" t="s">
        <v>53</v>
      </c>
      <c r="K291" s="10"/>
      <c r="L291" s="17">
        <v>5965.79</v>
      </c>
    </row>
    <row r="292" ht="51" customHeight="1" spans="1:12">
      <c r="A292" s="18">
        <v>228</v>
      </c>
      <c r="B292" s="19">
        <v>10102007005</v>
      </c>
      <c r="C292" s="7"/>
      <c r="D292" s="7" t="s">
        <v>82</v>
      </c>
      <c r="E292" s="7" t="s">
        <v>434</v>
      </c>
      <c r="F292" s="7"/>
      <c r="G292" s="7"/>
      <c r="H292" s="6" t="s">
        <v>79</v>
      </c>
      <c r="I292" s="17">
        <v>6.271</v>
      </c>
      <c r="J292" s="17">
        <v>187.84</v>
      </c>
      <c r="K292" s="10"/>
      <c r="L292" s="17">
        <v>1177.94</v>
      </c>
    </row>
    <row r="293" ht="95" customHeight="1" spans="1:12">
      <c r="A293" s="18">
        <v>229</v>
      </c>
      <c r="B293" s="19">
        <v>10501001030</v>
      </c>
      <c r="C293" s="7"/>
      <c r="D293" s="7" t="s">
        <v>435</v>
      </c>
      <c r="E293" s="7" t="s">
        <v>436</v>
      </c>
      <c r="F293" s="7"/>
      <c r="G293" s="7"/>
      <c r="H293" s="6" t="s">
        <v>93</v>
      </c>
      <c r="I293" s="17">
        <v>104.52</v>
      </c>
      <c r="J293" s="17">
        <v>34.93</v>
      </c>
      <c r="K293" s="10"/>
      <c r="L293" s="17">
        <v>3650.88</v>
      </c>
    </row>
    <row r="294" ht="23" customHeight="1" spans="1:12">
      <c r="A294" s="18">
        <v>230</v>
      </c>
      <c r="B294" s="19">
        <v>10102007006</v>
      </c>
      <c r="C294" s="7"/>
      <c r="D294" s="7" t="s">
        <v>82</v>
      </c>
      <c r="E294" s="7" t="s">
        <v>437</v>
      </c>
      <c r="F294" s="7"/>
      <c r="G294" s="7"/>
      <c r="H294" s="6" t="s">
        <v>79</v>
      </c>
      <c r="I294" s="17">
        <v>31.356</v>
      </c>
      <c r="J294" s="17">
        <v>36.26</v>
      </c>
      <c r="K294" s="10"/>
      <c r="L294" s="17">
        <v>1136.97</v>
      </c>
    </row>
    <row r="295" ht="51" customHeight="1" spans="1:12">
      <c r="A295" s="6" t="s">
        <v>53</v>
      </c>
      <c r="B295" s="7" t="s">
        <v>53</v>
      </c>
      <c r="C295" s="7"/>
      <c r="D295" s="7" t="s">
        <v>438</v>
      </c>
      <c r="E295" s="7" t="s">
        <v>53</v>
      </c>
      <c r="F295" s="7"/>
      <c r="G295" s="7"/>
      <c r="H295" s="6" t="s">
        <v>53</v>
      </c>
      <c r="I295" s="16" t="s">
        <v>53</v>
      </c>
      <c r="J295" s="10" t="s">
        <v>53</v>
      </c>
      <c r="K295" s="10"/>
      <c r="L295" s="17">
        <v>17482.45</v>
      </c>
    </row>
    <row r="296" ht="169" customHeight="1" spans="1:12">
      <c r="A296" s="18">
        <v>231</v>
      </c>
      <c r="B296" s="19">
        <v>11102003017</v>
      </c>
      <c r="C296" s="7"/>
      <c r="D296" s="7" t="s">
        <v>289</v>
      </c>
      <c r="E296" s="7" t="s">
        <v>439</v>
      </c>
      <c r="F296" s="7"/>
      <c r="G296" s="7"/>
      <c r="H296" s="6" t="s">
        <v>93</v>
      </c>
      <c r="I296" s="17">
        <v>96.99</v>
      </c>
      <c r="J296" s="17">
        <v>180.25</v>
      </c>
      <c r="K296" s="10"/>
      <c r="L296" s="17">
        <v>17482.45</v>
      </c>
    </row>
    <row r="297" ht="183" customHeight="1" spans="1:12">
      <c r="A297" s="18">
        <v>232</v>
      </c>
      <c r="B297" s="19">
        <v>11205001008</v>
      </c>
      <c r="C297" s="7"/>
      <c r="D297" s="7" t="s">
        <v>440</v>
      </c>
      <c r="E297" s="7" t="s">
        <v>441</v>
      </c>
      <c r="F297" s="7"/>
      <c r="G297" s="7"/>
      <c r="H297" s="6" t="s">
        <v>93</v>
      </c>
      <c r="I297" s="17">
        <v>130.2</v>
      </c>
      <c r="J297" s="17">
        <v>143.53</v>
      </c>
      <c r="K297" s="10"/>
      <c r="L297" s="17">
        <v>18687.61</v>
      </c>
    </row>
    <row r="298" ht="139" customHeight="1" spans="1:12">
      <c r="A298" s="18">
        <v>233</v>
      </c>
      <c r="B298" s="19">
        <v>10904004005</v>
      </c>
      <c r="C298" s="7"/>
      <c r="D298" s="7" t="s">
        <v>442</v>
      </c>
      <c r="E298" s="7" t="s">
        <v>443</v>
      </c>
      <c r="F298" s="7"/>
      <c r="G298" s="7"/>
      <c r="H298" s="6" t="s">
        <v>230</v>
      </c>
      <c r="I298" s="17">
        <v>23.6</v>
      </c>
      <c r="J298" s="17">
        <v>101.2</v>
      </c>
      <c r="K298" s="10"/>
      <c r="L298" s="17">
        <v>2388.32</v>
      </c>
    </row>
    <row r="299" ht="154" customHeight="1" spans="1:12">
      <c r="A299" s="18">
        <v>234</v>
      </c>
      <c r="B299" s="19">
        <v>10903004004</v>
      </c>
      <c r="C299" s="7"/>
      <c r="D299" s="7" t="s">
        <v>444</v>
      </c>
      <c r="E299" s="7" t="s">
        <v>445</v>
      </c>
      <c r="F299" s="7"/>
      <c r="G299" s="7"/>
      <c r="H299" s="6" t="s">
        <v>230</v>
      </c>
      <c r="I299" s="17">
        <v>44.4</v>
      </c>
      <c r="J299" s="17">
        <v>48.62</v>
      </c>
      <c r="K299" s="10"/>
      <c r="L299" s="17">
        <v>2158.73</v>
      </c>
    </row>
    <row r="300" ht="213" customHeight="1" spans="1:12">
      <c r="A300" s="18">
        <v>235</v>
      </c>
      <c r="B300" s="19">
        <v>11503001010</v>
      </c>
      <c r="C300" s="7"/>
      <c r="D300" s="7" t="s">
        <v>446</v>
      </c>
      <c r="E300" s="7" t="s">
        <v>447</v>
      </c>
      <c r="F300" s="7"/>
      <c r="G300" s="7"/>
      <c r="H300" s="6" t="s">
        <v>230</v>
      </c>
      <c r="I300" s="17">
        <v>213.215</v>
      </c>
      <c r="J300" s="17">
        <v>296.17</v>
      </c>
      <c r="K300" s="10"/>
      <c r="L300" s="17">
        <v>63147.89</v>
      </c>
    </row>
    <row r="301" ht="228" customHeight="1" spans="1:12">
      <c r="A301" s="18">
        <v>236</v>
      </c>
      <c r="B301" s="19">
        <v>11503001011</v>
      </c>
      <c r="C301" s="7"/>
      <c r="D301" s="7" t="s">
        <v>448</v>
      </c>
      <c r="E301" s="7" t="s">
        <v>449</v>
      </c>
      <c r="F301" s="7"/>
      <c r="G301" s="7"/>
      <c r="H301" s="6" t="s">
        <v>230</v>
      </c>
      <c r="I301" s="17">
        <v>337.017</v>
      </c>
      <c r="J301" s="17">
        <v>196.69</v>
      </c>
      <c r="K301" s="10"/>
      <c r="L301" s="17">
        <v>66287.87</v>
      </c>
    </row>
    <row r="302" ht="169" customHeight="1" spans="1:12">
      <c r="A302" s="18">
        <v>237</v>
      </c>
      <c r="B302" s="19">
        <v>11503001012</v>
      </c>
      <c r="C302" s="7"/>
      <c r="D302" s="7" t="s">
        <v>450</v>
      </c>
      <c r="E302" s="7" t="s">
        <v>451</v>
      </c>
      <c r="F302" s="7"/>
      <c r="G302" s="7"/>
      <c r="H302" s="6" t="s">
        <v>230</v>
      </c>
      <c r="I302" s="17">
        <v>147.2</v>
      </c>
      <c r="J302" s="17">
        <v>307.85</v>
      </c>
      <c r="K302" s="10"/>
      <c r="L302" s="17">
        <v>45315.52</v>
      </c>
    </row>
    <row r="303" ht="213" customHeight="1" spans="1:12">
      <c r="A303" s="18">
        <v>238</v>
      </c>
      <c r="B303" s="19">
        <v>11503001013</v>
      </c>
      <c r="C303" s="7"/>
      <c r="D303" s="7" t="s">
        <v>452</v>
      </c>
      <c r="E303" s="7" t="s">
        <v>453</v>
      </c>
      <c r="F303" s="7"/>
      <c r="G303" s="7"/>
      <c r="H303" s="6" t="s">
        <v>230</v>
      </c>
      <c r="I303" s="17">
        <v>40</v>
      </c>
      <c r="J303" s="17">
        <v>317.23</v>
      </c>
      <c r="K303" s="10"/>
      <c r="L303" s="17">
        <v>12689.2</v>
      </c>
    </row>
    <row r="304" ht="139" customHeight="1" spans="1:12">
      <c r="A304" s="18">
        <v>239</v>
      </c>
      <c r="B304" s="19">
        <v>10607004002</v>
      </c>
      <c r="C304" s="7"/>
      <c r="D304" s="7" t="s">
        <v>454</v>
      </c>
      <c r="E304" s="7" t="s">
        <v>455</v>
      </c>
      <c r="F304" s="7"/>
      <c r="G304" s="7"/>
      <c r="H304" s="6" t="s">
        <v>154</v>
      </c>
      <c r="I304" s="17">
        <v>2.72</v>
      </c>
      <c r="J304" s="17">
        <v>6351.05</v>
      </c>
      <c r="K304" s="10"/>
      <c r="L304" s="17">
        <v>17274.86</v>
      </c>
    </row>
    <row r="305" ht="139" customHeight="1" spans="1:12">
      <c r="A305" s="18">
        <v>240</v>
      </c>
      <c r="B305" s="19">
        <v>10607006002</v>
      </c>
      <c r="C305" s="7"/>
      <c r="D305" s="7" t="s">
        <v>456</v>
      </c>
      <c r="E305" s="7" t="s">
        <v>457</v>
      </c>
      <c r="F305" s="7"/>
      <c r="G305" s="7"/>
      <c r="H305" s="6" t="s">
        <v>154</v>
      </c>
      <c r="I305" s="17">
        <v>0.96</v>
      </c>
      <c r="J305" s="17">
        <v>6465.27</v>
      </c>
      <c r="K305" s="10"/>
      <c r="L305" s="17">
        <v>6206.66</v>
      </c>
    </row>
    <row r="306" ht="228" customHeight="1" spans="1:12">
      <c r="A306" s="18">
        <v>241</v>
      </c>
      <c r="B306" s="19">
        <v>11506003005</v>
      </c>
      <c r="C306" s="7"/>
      <c r="D306" s="7" t="s">
        <v>458</v>
      </c>
      <c r="E306" s="7" t="s">
        <v>459</v>
      </c>
      <c r="F306" s="7"/>
      <c r="G306" s="7"/>
      <c r="H306" s="6" t="s">
        <v>365</v>
      </c>
      <c r="I306" s="17">
        <v>64</v>
      </c>
      <c r="J306" s="17">
        <v>230.27</v>
      </c>
      <c r="K306" s="10"/>
      <c r="L306" s="17">
        <v>14737.28</v>
      </c>
    </row>
    <row r="307" ht="228" customHeight="1" spans="1:12">
      <c r="A307" s="18">
        <v>242</v>
      </c>
      <c r="B307" s="19">
        <v>11506003006</v>
      </c>
      <c r="C307" s="7"/>
      <c r="D307" s="7" t="s">
        <v>458</v>
      </c>
      <c r="E307" s="7" t="s">
        <v>460</v>
      </c>
      <c r="F307" s="7"/>
      <c r="G307" s="7"/>
      <c r="H307" s="6" t="s">
        <v>365</v>
      </c>
      <c r="I307" s="17">
        <v>12</v>
      </c>
      <c r="J307" s="17">
        <v>184.51</v>
      </c>
      <c r="K307" s="10"/>
      <c r="L307" s="17">
        <v>2214.12</v>
      </c>
    </row>
    <row r="308" ht="139" customHeight="1" spans="1:12">
      <c r="A308" s="18">
        <v>243</v>
      </c>
      <c r="B308" s="19">
        <v>11505001002</v>
      </c>
      <c r="C308" s="7"/>
      <c r="D308" s="7" t="s">
        <v>461</v>
      </c>
      <c r="E308" s="7" t="s">
        <v>462</v>
      </c>
      <c r="F308" s="7"/>
      <c r="G308" s="7"/>
      <c r="H308" s="6" t="s">
        <v>93</v>
      </c>
      <c r="I308" s="17">
        <v>21.766</v>
      </c>
      <c r="J308" s="17">
        <v>627.94</v>
      </c>
      <c r="K308" s="10"/>
      <c r="L308" s="17">
        <v>13667.74</v>
      </c>
    </row>
    <row r="309" ht="110" customHeight="1" spans="1:12">
      <c r="A309" s="18">
        <v>244</v>
      </c>
      <c r="B309" s="19">
        <v>11505003002</v>
      </c>
      <c r="C309" s="7"/>
      <c r="D309" s="7" t="s">
        <v>463</v>
      </c>
      <c r="E309" s="7" t="s">
        <v>464</v>
      </c>
      <c r="F309" s="7"/>
      <c r="G309" s="7"/>
      <c r="H309" s="6" t="s">
        <v>93</v>
      </c>
      <c r="I309" s="17">
        <v>65.328</v>
      </c>
      <c r="J309" s="17">
        <v>269.75</v>
      </c>
      <c r="K309" s="10"/>
      <c r="L309" s="17">
        <v>17622.23</v>
      </c>
    </row>
    <row r="310" ht="125" customHeight="1" spans="1:12">
      <c r="A310" s="18">
        <v>245</v>
      </c>
      <c r="B310" s="19">
        <v>11207003002</v>
      </c>
      <c r="C310" s="7"/>
      <c r="D310" s="7" t="s">
        <v>465</v>
      </c>
      <c r="E310" s="7" t="s">
        <v>466</v>
      </c>
      <c r="F310" s="7"/>
      <c r="G310" s="7"/>
      <c r="H310" s="6" t="s">
        <v>93</v>
      </c>
      <c r="I310" s="17">
        <v>621.28</v>
      </c>
      <c r="J310" s="17">
        <v>284.6</v>
      </c>
      <c r="K310" s="10"/>
      <c r="L310" s="17">
        <v>176816.29</v>
      </c>
    </row>
    <row r="311" ht="23" customHeight="1" spans="1:12">
      <c r="A311" s="6" t="s">
        <v>467</v>
      </c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17">
        <v>47247389.12</v>
      </c>
    </row>
  </sheetData>
  <mergeCells count="949">
    <mergeCell ref="J1:L1"/>
    <mergeCell ref="B4:C4"/>
    <mergeCell ref="E4:G4"/>
    <mergeCell ref="J4:K4"/>
    <mergeCell ref="B5:C5"/>
    <mergeCell ref="E5:G5"/>
    <mergeCell ref="J5:K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B11:C11"/>
    <mergeCell ref="E11:G11"/>
    <mergeCell ref="J11:K11"/>
    <mergeCell ref="B12:C12"/>
    <mergeCell ref="E12:G12"/>
    <mergeCell ref="J12:K12"/>
    <mergeCell ref="B13:C13"/>
    <mergeCell ref="E13:G13"/>
    <mergeCell ref="J13:K13"/>
    <mergeCell ref="B14:C14"/>
    <mergeCell ref="E14:G14"/>
    <mergeCell ref="J14:K14"/>
    <mergeCell ref="B15:C15"/>
    <mergeCell ref="E15:G15"/>
    <mergeCell ref="J15:K15"/>
    <mergeCell ref="B16:C16"/>
    <mergeCell ref="E16:G16"/>
    <mergeCell ref="J16:K16"/>
    <mergeCell ref="B17:C17"/>
    <mergeCell ref="E17:G17"/>
    <mergeCell ref="J17:K17"/>
    <mergeCell ref="B18:C18"/>
    <mergeCell ref="E18:G18"/>
    <mergeCell ref="J18:K18"/>
    <mergeCell ref="B19:C19"/>
    <mergeCell ref="E19:G19"/>
    <mergeCell ref="J19:K19"/>
    <mergeCell ref="B20:C20"/>
    <mergeCell ref="E20:G20"/>
    <mergeCell ref="J20:K20"/>
    <mergeCell ref="B21:C21"/>
    <mergeCell ref="E21:G21"/>
    <mergeCell ref="J21:K21"/>
    <mergeCell ref="B22:C22"/>
    <mergeCell ref="E22:G22"/>
    <mergeCell ref="J22:K22"/>
    <mergeCell ref="B23:C23"/>
    <mergeCell ref="E23:G23"/>
    <mergeCell ref="J23:K23"/>
    <mergeCell ref="B24:C24"/>
    <mergeCell ref="E24:G24"/>
    <mergeCell ref="J24:K24"/>
    <mergeCell ref="B25:C25"/>
    <mergeCell ref="E25:G25"/>
    <mergeCell ref="J25:K25"/>
    <mergeCell ref="B26:C26"/>
    <mergeCell ref="E26:G26"/>
    <mergeCell ref="J26:K26"/>
    <mergeCell ref="B27:C27"/>
    <mergeCell ref="E27:G27"/>
    <mergeCell ref="J27:K27"/>
    <mergeCell ref="B28:C28"/>
    <mergeCell ref="E28:G28"/>
    <mergeCell ref="J28:K28"/>
    <mergeCell ref="B29:C29"/>
    <mergeCell ref="E29:G29"/>
    <mergeCell ref="J29:K29"/>
    <mergeCell ref="B30:C30"/>
    <mergeCell ref="E30:G30"/>
    <mergeCell ref="J30:K30"/>
    <mergeCell ref="B31:C31"/>
    <mergeCell ref="E31:G31"/>
    <mergeCell ref="J31:K31"/>
    <mergeCell ref="B32:C32"/>
    <mergeCell ref="E32:G32"/>
    <mergeCell ref="J32:K32"/>
    <mergeCell ref="B33:C33"/>
    <mergeCell ref="E33:G33"/>
    <mergeCell ref="J33:K33"/>
    <mergeCell ref="B34:C34"/>
    <mergeCell ref="E34:G34"/>
    <mergeCell ref="J34:K34"/>
    <mergeCell ref="B35:C35"/>
    <mergeCell ref="E35:G35"/>
    <mergeCell ref="J35:K35"/>
    <mergeCell ref="B36:C36"/>
    <mergeCell ref="E36:G36"/>
    <mergeCell ref="J36:K36"/>
    <mergeCell ref="B37:C37"/>
    <mergeCell ref="E37:G37"/>
    <mergeCell ref="J37:K37"/>
    <mergeCell ref="B38:C38"/>
    <mergeCell ref="E38:G38"/>
    <mergeCell ref="J38:K38"/>
    <mergeCell ref="B39:C39"/>
    <mergeCell ref="E39:G39"/>
    <mergeCell ref="J39:K39"/>
    <mergeCell ref="B40:C40"/>
    <mergeCell ref="E40:G40"/>
    <mergeCell ref="J40:K40"/>
    <mergeCell ref="B41:C41"/>
    <mergeCell ref="E41:G41"/>
    <mergeCell ref="J41:K41"/>
    <mergeCell ref="B42:C42"/>
    <mergeCell ref="E42:G42"/>
    <mergeCell ref="J42:K42"/>
    <mergeCell ref="B43:C43"/>
    <mergeCell ref="E43:G43"/>
    <mergeCell ref="J43:K43"/>
    <mergeCell ref="B44:C44"/>
    <mergeCell ref="E44:G44"/>
    <mergeCell ref="J44:K44"/>
    <mergeCell ref="B45:C45"/>
    <mergeCell ref="E45:G45"/>
    <mergeCell ref="J45:K45"/>
    <mergeCell ref="B46:C46"/>
    <mergeCell ref="E46:G46"/>
    <mergeCell ref="J46:K46"/>
    <mergeCell ref="B47:C47"/>
    <mergeCell ref="E47:G47"/>
    <mergeCell ref="J47:K47"/>
    <mergeCell ref="B48:C48"/>
    <mergeCell ref="E48:G48"/>
    <mergeCell ref="J48:K48"/>
    <mergeCell ref="B49:C49"/>
    <mergeCell ref="E49:G49"/>
    <mergeCell ref="J49:K49"/>
    <mergeCell ref="B50:C50"/>
    <mergeCell ref="E50:G50"/>
    <mergeCell ref="J50:K50"/>
    <mergeCell ref="B51:C51"/>
    <mergeCell ref="E51:G51"/>
    <mergeCell ref="J51:K51"/>
    <mergeCell ref="B52:C52"/>
    <mergeCell ref="E52:G52"/>
    <mergeCell ref="J52:K52"/>
    <mergeCell ref="B53:C53"/>
    <mergeCell ref="E53:G53"/>
    <mergeCell ref="J53:K53"/>
    <mergeCell ref="B54:C54"/>
    <mergeCell ref="E54:G54"/>
    <mergeCell ref="J54:K54"/>
    <mergeCell ref="B55:C55"/>
    <mergeCell ref="E55:G55"/>
    <mergeCell ref="J55:K55"/>
    <mergeCell ref="B56:C56"/>
    <mergeCell ref="E56:G56"/>
    <mergeCell ref="J56:K56"/>
    <mergeCell ref="B57:C57"/>
    <mergeCell ref="E57:G57"/>
    <mergeCell ref="J57:K57"/>
    <mergeCell ref="B58:C58"/>
    <mergeCell ref="E58:G58"/>
    <mergeCell ref="J58:K58"/>
    <mergeCell ref="B59:C59"/>
    <mergeCell ref="E59:G59"/>
    <mergeCell ref="J59:K59"/>
    <mergeCell ref="B78:C78"/>
    <mergeCell ref="E78:G78"/>
    <mergeCell ref="J78:K78"/>
    <mergeCell ref="B79:C79"/>
    <mergeCell ref="E79:G79"/>
    <mergeCell ref="J79:K79"/>
    <mergeCell ref="B80:C80"/>
    <mergeCell ref="E80:G80"/>
    <mergeCell ref="J80:K80"/>
    <mergeCell ref="B81:C81"/>
    <mergeCell ref="E81:G81"/>
    <mergeCell ref="J81:K81"/>
    <mergeCell ref="B82:C82"/>
    <mergeCell ref="E82:G82"/>
    <mergeCell ref="J82:K82"/>
    <mergeCell ref="B83:C83"/>
    <mergeCell ref="E83:G83"/>
    <mergeCell ref="J83:K83"/>
    <mergeCell ref="B84:C84"/>
    <mergeCell ref="E84:G84"/>
    <mergeCell ref="J84:K84"/>
    <mergeCell ref="B85:C85"/>
    <mergeCell ref="E85:G85"/>
    <mergeCell ref="J85:K85"/>
    <mergeCell ref="B86:C86"/>
    <mergeCell ref="E86:G86"/>
    <mergeCell ref="J86:K86"/>
    <mergeCell ref="B87:C87"/>
    <mergeCell ref="E87:G87"/>
    <mergeCell ref="J87:K87"/>
    <mergeCell ref="B88:C88"/>
    <mergeCell ref="E88:G88"/>
    <mergeCell ref="J88:K88"/>
    <mergeCell ref="B89:C89"/>
    <mergeCell ref="E89:G89"/>
    <mergeCell ref="J89:K89"/>
    <mergeCell ref="B90:C90"/>
    <mergeCell ref="E90:G90"/>
    <mergeCell ref="J90:K90"/>
    <mergeCell ref="B91:C91"/>
    <mergeCell ref="E91:G91"/>
    <mergeCell ref="J91:K91"/>
    <mergeCell ref="B92:C92"/>
    <mergeCell ref="E92:G92"/>
    <mergeCell ref="J92:K92"/>
    <mergeCell ref="B93:C93"/>
    <mergeCell ref="E93:G93"/>
    <mergeCell ref="J93:K93"/>
    <mergeCell ref="B94:C94"/>
    <mergeCell ref="E94:G94"/>
    <mergeCell ref="J94:K94"/>
    <mergeCell ref="B95:C95"/>
    <mergeCell ref="E95:G95"/>
    <mergeCell ref="J95:K95"/>
    <mergeCell ref="B96:C96"/>
    <mergeCell ref="E96:G96"/>
    <mergeCell ref="J96:K96"/>
    <mergeCell ref="B97:C97"/>
    <mergeCell ref="E97:G97"/>
    <mergeCell ref="J97:K97"/>
    <mergeCell ref="B98:C98"/>
    <mergeCell ref="E98:G98"/>
    <mergeCell ref="J98:K98"/>
    <mergeCell ref="B99:C99"/>
    <mergeCell ref="E99:G99"/>
    <mergeCell ref="J99:K99"/>
    <mergeCell ref="B100:C100"/>
    <mergeCell ref="E100:G100"/>
    <mergeCell ref="J100:K100"/>
    <mergeCell ref="B101:C101"/>
    <mergeCell ref="E101:G101"/>
    <mergeCell ref="J101:K101"/>
    <mergeCell ref="B102:C102"/>
    <mergeCell ref="E102:G102"/>
    <mergeCell ref="J102:K102"/>
    <mergeCell ref="B103:C103"/>
    <mergeCell ref="E103:G103"/>
    <mergeCell ref="J103:K103"/>
    <mergeCell ref="B104:C104"/>
    <mergeCell ref="E104:G104"/>
    <mergeCell ref="J104:K104"/>
    <mergeCell ref="B105:C105"/>
    <mergeCell ref="E105:G105"/>
    <mergeCell ref="J105:K105"/>
    <mergeCell ref="B106:C106"/>
    <mergeCell ref="E106:G106"/>
    <mergeCell ref="J106:K106"/>
    <mergeCell ref="B107:C107"/>
    <mergeCell ref="E107:G107"/>
    <mergeCell ref="J107:K107"/>
    <mergeCell ref="B108:C108"/>
    <mergeCell ref="E108:G108"/>
    <mergeCell ref="J108:K108"/>
    <mergeCell ref="B109:C109"/>
    <mergeCell ref="E109:G109"/>
    <mergeCell ref="J109:K109"/>
    <mergeCell ref="B110:C110"/>
    <mergeCell ref="E110:G110"/>
    <mergeCell ref="J110:K110"/>
    <mergeCell ref="B111:C111"/>
    <mergeCell ref="E111:G111"/>
    <mergeCell ref="J111:K111"/>
    <mergeCell ref="B112:C112"/>
    <mergeCell ref="E112:G112"/>
    <mergeCell ref="J112:K112"/>
    <mergeCell ref="B113:C113"/>
    <mergeCell ref="E113:G113"/>
    <mergeCell ref="J113:K113"/>
    <mergeCell ref="B114:C114"/>
    <mergeCell ref="E114:G114"/>
    <mergeCell ref="J114:K114"/>
    <mergeCell ref="B115:C115"/>
    <mergeCell ref="E115:G115"/>
    <mergeCell ref="J115:K115"/>
    <mergeCell ref="B116:C116"/>
    <mergeCell ref="E116:G116"/>
    <mergeCell ref="J116:K116"/>
    <mergeCell ref="B117:C117"/>
    <mergeCell ref="E117:G117"/>
    <mergeCell ref="J117:K117"/>
    <mergeCell ref="B118:C118"/>
    <mergeCell ref="E118:G118"/>
    <mergeCell ref="J118:K118"/>
    <mergeCell ref="B119:C119"/>
    <mergeCell ref="E119:G119"/>
    <mergeCell ref="J119:K119"/>
    <mergeCell ref="B120:C120"/>
    <mergeCell ref="E120:G120"/>
    <mergeCell ref="J120:K120"/>
    <mergeCell ref="B121:C121"/>
    <mergeCell ref="E121:G121"/>
    <mergeCell ref="J121:K121"/>
    <mergeCell ref="B122:C122"/>
    <mergeCell ref="E122:G122"/>
    <mergeCell ref="J122:K122"/>
    <mergeCell ref="B123:C123"/>
    <mergeCell ref="E123:G123"/>
    <mergeCell ref="J123:K123"/>
    <mergeCell ref="B124:C124"/>
    <mergeCell ref="E124:G124"/>
    <mergeCell ref="J124:K124"/>
    <mergeCell ref="B125:C125"/>
    <mergeCell ref="E125:G125"/>
    <mergeCell ref="J125:K125"/>
    <mergeCell ref="B126:C126"/>
    <mergeCell ref="E126:G126"/>
    <mergeCell ref="J126:K126"/>
    <mergeCell ref="B127:C127"/>
    <mergeCell ref="E127:G127"/>
    <mergeCell ref="J127:K127"/>
    <mergeCell ref="B128:C128"/>
    <mergeCell ref="E128:G128"/>
    <mergeCell ref="J128:K128"/>
    <mergeCell ref="B129:C129"/>
    <mergeCell ref="E129:G129"/>
    <mergeCell ref="J129:K129"/>
    <mergeCell ref="B130:C130"/>
    <mergeCell ref="E130:G130"/>
    <mergeCell ref="J130:K130"/>
    <mergeCell ref="B131:C131"/>
    <mergeCell ref="E131:G131"/>
    <mergeCell ref="J131:K131"/>
    <mergeCell ref="B132:C132"/>
    <mergeCell ref="E132:G132"/>
    <mergeCell ref="J132:K132"/>
    <mergeCell ref="B133:C133"/>
    <mergeCell ref="E133:G133"/>
    <mergeCell ref="J133:K133"/>
    <mergeCell ref="B134:C134"/>
    <mergeCell ref="E134:G134"/>
    <mergeCell ref="J134:K134"/>
    <mergeCell ref="B135:C135"/>
    <mergeCell ref="E135:G135"/>
    <mergeCell ref="J135:K135"/>
    <mergeCell ref="B136:C136"/>
    <mergeCell ref="E136:G136"/>
    <mergeCell ref="J136:K136"/>
    <mergeCell ref="B137:C137"/>
    <mergeCell ref="E137:G137"/>
    <mergeCell ref="J137:K137"/>
    <mergeCell ref="B138:C138"/>
    <mergeCell ref="E138:G138"/>
    <mergeCell ref="J138:K138"/>
    <mergeCell ref="B139:C139"/>
    <mergeCell ref="E139:G139"/>
    <mergeCell ref="J139:K139"/>
    <mergeCell ref="B140:C140"/>
    <mergeCell ref="E140:G140"/>
    <mergeCell ref="J140:K140"/>
    <mergeCell ref="B141:C141"/>
    <mergeCell ref="E141:G141"/>
    <mergeCell ref="J141:K141"/>
    <mergeCell ref="B142:C142"/>
    <mergeCell ref="E142:G142"/>
    <mergeCell ref="J142:K142"/>
    <mergeCell ref="B143:C143"/>
    <mergeCell ref="E143:G143"/>
    <mergeCell ref="J143:K143"/>
    <mergeCell ref="B144:C144"/>
    <mergeCell ref="E144:G144"/>
    <mergeCell ref="J144:K144"/>
    <mergeCell ref="B145:C145"/>
    <mergeCell ref="E145:G145"/>
    <mergeCell ref="J145:K145"/>
    <mergeCell ref="B146:C146"/>
    <mergeCell ref="E146:G146"/>
    <mergeCell ref="J146:K146"/>
    <mergeCell ref="B147:C147"/>
    <mergeCell ref="E147:G147"/>
    <mergeCell ref="J147:K147"/>
    <mergeCell ref="B148:C148"/>
    <mergeCell ref="E148:G148"/>
    <mergeCell ref="J148:K148"/>
    <mergeCell ref="B149:C149"/>
    <mergeCell ref="E149:G149"/>
    <mergeCell ref="J149:K149"/>
    <mergeCell ref="B150:C150"/>
    <mergeCell ref="E150:G150"/>
    <mergeCell ref="J150:K150"/>
    <mergeCell ref="B151:C151"/>
    <mergeCell ref="E151:G151"/>
    <mergeCell ref="J151:K151"/>
    <mergeCell ref="B152:C152"/>
    <mergeCell ref="E152:G152"/>
    <mergeCell ref="J152:K152"/>
    <mergeCell ref="B153:C153"/>
    <mergeCell ref="E153:G153"/>
    <mergeCell ref="J153:K153"/>
    <mergeCell ref="B154:C154"/>
    <mergeCell ref="E154:G154"/>
    <mergeCell ref="J154:K154"/>
    <mergeCell ref="B155:C155"/>
    <mergeCell ref="E155:G155"/>
    <mergeCell ref="J155:K155"/>
    <mergeCell ref="B156:C156"/>
    <mergeCell ref="E156:G156"/>
    <mergeCell ref="J156:K156"/>
    <mergeCell ref="B157:C157"/>
    <mergeCell ref="E157:G157"/>
    <mergeCell ref="J157:K157"/>
    <mergeCell ref="B158:C158"/>
    <mergeCell ref="E158:G158"/>
    <mergeCell ref="J158:K158"/>
    <mergeCell ref="B159:C159"/>
    <mergeCell ref="E159:G159"/>
    <mergeCell ref="J159:K159"/>
    <mergeCell ref="B160:C160"/>
    <mergeCell ref="E160:G160"/>
    <mergeCell ref="J160:K160"/>
    <mergeCell ref="B161:C161"/>
    <mergeCell ref="E161:G161"/>
    <mergeCell ref="J161:K161"/>
    <mergeCell ref="B162:C162"/>
    <mergeCell ref="E162:G162"/>
    <mergeCell ref="J162:K162"/>
    <mergeCell ref="B163:C163"/>
    <mergeCell ref="E163:G163"/>
    <mergeCell ref="J163:K163"/>
    <mergeCell ref="B164:C164"/>
    <mergeCell ref="E164:G164"/>
    <mergeCell ref="J164:K164"/>
    <mergeCell ref="B165:C165"/>
    <mergeCell ref="E165:G165"/>
    <mergeCell ref="J165:K165"/>
    <mergeCell ref="B166:C166"/>
    <mergeCell ref="E166:G166"/>
    <mergeCell ref="J166:K166"/>
    <mergeCell ref="B167:C167"/>
    <mergeCell ref="E167:G167"/>
    <mergeCell ref="J167:K167"/>
    <mergeCell ref="B168:C168"/>
    <mergeCell ref="E168:G168"/>
    <mergeCell ref="J168:K168"/>
    <mergeCell ref="B169:C169"/>
    <mergeCell ref="E169:G169"/>
    <mergeCell ref="J169:K169"/>
    <mergeCell ref="B170:C170"/>
    <mergeCell ref="E170:G170"/>
    <mergeCell ref="J170:K170"/>
    <mergeCell ref="B171:C171"/>
    <mergeCell ref="E171:G171"/>
    <mergeCell ref="J171:K171"/>
    <mergeCell ref="B172:C172"/>
    <mergeCell ref="E172:G172"/>
    <mergeCell ref="J172:K172"/>
    <mergeCell ref="B173:C173"/>
    <mergeCell ref="E173:G173"/>
    <mergeCell ref="J173:K173"/>
    <mergeCell ref="B174:C174"/>
    <mergeCell ref="E174:G174"/>
    <mergeCell ref="J174:K174"/>
    <mergeCell ref="B175:C175"/>
    <mergeCell ref="E175:G175"/>
    <mergeCell ref="J175:K175"/>
    <mergeCell ref="B176:C176"/>
    <mergeCell ref="E176:G176"/>
    <mergeCell ref="J176:K176"/>
    <mergeCell ref="B177:C177"/>
    <mergeCell ref="E177:G177"/>
    <mergeCell ref="J177:K177"/>
    <mergeCell ref="B178:C178"/>
    <mergeCell ref="E178:G178"/>
    <mergeCell ref="J178:K178"/>
    <mergeCell ref="B179:C179"/>
    <mergeCell ref="E179:G179"/>
    <mergeCell ref="J179:K179"/>
    <mergeCell ref="B180:C180"/>
    <mergeCell ref="E180:G180"/>
    <mergeCell ref="J180:K180"/>
    <mergeCell ref="B181:C181"/>
    <mergeCell ref="E181:G181"/>
    <mergeCell ref="J181:K181"/>
    <mergeCell ref="B182:C182"/>
    <mergeCell ref="E182:G182"/>
    <mergeCell ref="J182:K182"/>
    <mergeCell ref="B183:C183"/>
    <mergeCell ref="E183:G183"/>
    <mergeCell ref="J183:K183"/>
    <mergeCell ref="B184:C184"/>
    <mergeCell ref="E184:G184"/>
    <mergeCell ref="J184:K184"/>
    <mergeCell ref="B185:C185"/>
    <mergeCell ref="E185:G185"/>
    <mergeCell ref="J185:K185"/>
    <mergeCell ref="B186:C186"/>
    <mergeCell ref="E186:G186"/>
    <mergeCell ref="J186:K186"/>
    <mergeCell ref="B187:C187"/>
    <mergeCell ref="E187:G187"/>
    <mergeCell ref="J187:K187"/>
    <mergeCell ref="B188:C188"/>
    <mergeCell ref="E188:G188"/>
    <mergeCell ref="J188:K188"/>
    <mergeCell ref="B189:C189"/>
    <mergeCell ref="E189:G189"/>
    <mergeCell ref="J189:K189"/>
    <mergeCell ref="B190:C190"/>
    <mergeCell ref="E190:G190"/>
    <mergeCell ref="J190:K190"/>
    <mergeCell ref="B191:C191"/>
    <mergeCell ref="E191:G191"/>
    <mergeCell ref="J191:K191"/>
    <mergeCell ref="B192:C192"/>
    <mergeCell ref="E192:G192"/>
    <mergeCell ref="J192:K192"/>
    <mergeCell ref="B193:C193"/>
    <mergeCell ref="E193:G193"/>
    <mergeCell ref="J193:K193"/>
    <mergeCell ref="B194:C194"/>
    <mergeCell ref="E194:G194"/>
    <mergeCell ref="J194:K194"/>
    <mergeCell ref="B195:C195"/>
    <mergeCell ref="E195:G195"/>
    <mergeCell ref="J195:K195"/>
    <mergeCell ref="B196:C196"/>
    <mergeCell ref="E196:G196"/>
    <mergeCell ref="J196:K196"/>
    <mergeCell ref="B197:C197"/>
    <mergeCell ref="E197:G197"/>
    <mergeCell ref="J197:K197"/>
    <mergeCell ref="B198:C198"/>
    <mergeCell ref="E198:G198"/>
    <mergeCell ref="J198:K198"/>
    <mergeCell ref="B199:C199"/>
    <mergeCell ref="E199:G199"/>
    <mergeCell ref="J199:K199"/>
    <mergeCell ref="B200:C200"/>
    <mergeCell ref="E200:G200"/>
    <mergeCell ref="J200:K200"/>
    <mergeCell ref="B201:C201"/>
    <mergeCell ref="E201:G201"/>
    <mergeCell ref="J201:K201"/>
    <mergeCell ref="B202:C202"/>
    <mergeCell ref="E202:G202"/>
    <mergeCell ref="J202:K202"/>
    <mergeCell ref="B203:C203"/>
    <mergeCell ref="E203:G203"/>
    <mergeCell ref="J203:K203"/>
    <mergeCell ref="B204:C204"/>
    <mergeCell ref="E204:G204"/>
    <mergeCell ref="J204:K204"/>
    <mergeCell ref="B205:C205"/>
    <mergeCell ref="E205:G205"/>
    <mergeCell ref="J205:K205"/>
    <mergeCell ref="B206:C206"/>
    <mergeCell ref="E206:G206"/>
    <mergeCell ref="J206:K206"/>
    <mergeCell ref="B207:C207"/>
    <mergeCell ref="E207:G207"/>
    <mergeCell ref="J207:K207"/>
    <mergeCell ref="B208:C208"/>
    <mergeCell ref="E208:G208"/>
    <mergeCell ref="J208:K208"/>
    <mergeCell ref="B209:C209"/>
    <mergeCell ref="E209:G209"/>
    <mergeCell ref="J209:K209"/>
    <mergeCell ref="B210:C210"/>
    <mergeCell ref="E210:G210"/>
    <mergeCell ref="J210:K210"/>
    <mergeCell ref="B211:C211"/>
    <mergeCell ref="E211:G211"/>
    <mergeCell ref="J211:K211"/>
    <mergeCell ref="B212:C212"/>
    <mergeCell ref="E212:G212"/>
    <mergeCell ref="J212:K212"/>
    <mergeCell ref="B213:C213"/>
    <mergeCell ref="E213:G213"/>
    <mergeCell ref="J213:K213"/>
    <mergeCell ref="B214:C214"/>
    <mergeCell ref="E214:G214"/>
    <mergeCell ref="J214:K214"/>
    <mergeCell ref="B215:C215"/>
    <mergeCell ref="E215:G215"/>
    <mergeCell ref="J215:K215"/>
    <mergeCell ref="B216:C216"/>
    <mergeCell ref="E216:G216"/>
    <mergeCell ref="J216:K216"/>
    <mergeCell ref="B217:C217"/>
    <mergeCell ref="E217:G217"/>
    <mergeCell ref="J217:K217"/>
    <mergeCell ref="B218:C218"/>
    <mergeCell ref="E218:G218"/>
    <mergeCell ref="J218:K218"/>
    <mergeCell ref="B219:C219"/>
    <mergeCell ref="E219:G219"/>
    <mergeCell ref="J219:K219"/>
    <mergeCell ref="B220:C220"/>
    <mergeCell ref="E220:G220"/>
    <mergeCell ref="J220:K220"/>
    <mergeCell ref="B221:C221"/>
    <mergeCell ref="E221:G221"/>
    <mergeCell ref="J221:K221"/>
    <mergeCell ref="B222:C222"/>
    <mergeCell ref="E222:G222"/>
    <mergeCell ref="J222:K222"/>
    <mergeCell ref="B223:C223"/>
    <mergeCell ref="E223:G223"/>
    <mergeCell ref="J223:K223"/>
    <mergeCell ref="B224:C224"/>
    <mergeCell ref="E224:G224"/>
    <mergeCell ref="J224:K224"/>
    <mergeCell ref="B225:C225"/>
    <mergeCell ref="E225:G225"/>
    <mergeCell ref="J225:K225"/>
    <mergeCell ref="B226:C226"/>
    <mergeCell ref="E226:G226"/>
    <mergeCell ref="J226:K226"/>
    <mergeCell ref="B227:C227"/>
    <mergeCell ref="E227:G227"/>
    <mergeCell ref="J227:K227"/>
    <mergeCell ref="B228:C228"/>
    <mergeCell ref="E228:G228"/>
    <mergeCell ref="J228:K228"/>
    <mergeCell ref="B229:C229"/>
    <mergeCell ref="E229:G229"/>
    <mergeCell ref="J229:K229"/>
    <mergeCell ref="B230:C230"/>
    <mergeCell ref="E230:G230"/>
    <mergeCell ref="J230:K230"/>
    <mergeCell ref="B231:C231"/>
    <mergeCell ref="E231:G231"/>
    <mergeCell ref="J231:K231"/>
    <mergeCell ref="B232:C232"/>
    <mergeCell ref="E232:G232"/>
    <mergeCell ref="J232:K232"/>
    <mergeCell ref="B233:C233"/>
    <mergeCell ref="E233:G233"/>
    <mergeCell ref="J233:K233"/>
    <mergeCell ref="B234:C234"/>
    <mergeCell ref="E234:G234"/>
    <mergeCell ref="J234:K234"/>
    <mergeCell ref="B235:C235"/>
    <mergeCell ref="E235:G235"/>
    <mergeCell ref="J235:K235"/>
    <mergeCell ref="B236:C236"/>
    <mergeCell ref="E236:G236"/>
    <mergeCell ref="J236:K236"/>
    <mergeCell ref="B237:C237"/>
    <mergeCell ref="E237:G237"/>
    <mergeCell ref="J237:K237"/>
    <mergeCell ref="B238:C238"/>
    <mergeCell ref="E238:G238"/>
    <mergeCell ref="J238:K238"/>
    <mergeCell ref="B239:C239"/>
    <mergeCell ref="E239:G239"/>
    <mergeCell ref="J239:K239"/>
    <mergeCell ref="B240:C240"/>
    <mergeCell ref="E240:G240"/>
    <mergeCell ref="J240:K240"/>
    <mergeCell ref="B241:C241"/>
    <mergeCell ref="E241:G241"/>
    <mergeCell ref="J241:K241"/>
    <mergeCell ref="B242:C242"/>
    <mergeCell ref="E242:G242"/>
    <mergeCell ref="J242:K242"/>
    <mergeCell ref="B243:C243"/>
    <mergeCell ref="E243:G243"/>
    <mergeCell ref="J243:K243"/>
    <mergeCell ref="B244:C244"/>
    <mergeCell ref="E244:G244"/>
    <mergeCell ref="J244:K244"/>
    <mergeCell ref="B245:C245"/>
    <mergeCell ref="E245:G245"/>
    <mergeCell ref="J245:K245"/>
    <mergeCell ref="B246:C246"/>
    <mergeCell ref="E246:G246"/>
    <mergeCell ref="J246:K246"/>
    <mergeCell ref="B247:C247"/>
    <mergeCell ref="E247:G247"/>
    <mergeCell ref="J247:K247"/>
    <mergeCell ref="B248:C248"/>
    <mergeCell ref="E248:G248"/>
    <mergeCell ref="J248:K248"/>
    <mergeCell ref="B249:C249"/>
    <mergeCell ref="E249:G249"/>
    <mergeCell ref="J249:K249"/>
    <mergeCell ref="B250:C250"/>
    <mergeCell ref="E250:G250"/>
    <mergeCell ref="J250:K250"/>
    <mergeCell ref="B251:C251"/>
    <mergeCell ref="E251:G251"/>
    <mergeCell ref="J251:K251"/>
    <mergeCell ref="B252:C252"/>
    <mergeCell ref="E252:G252"/>
    <mergeCell ref="J252:K252"/>
    <mergeCell ref="B253:C253"/>
    <mergeCell ref="E253:G253"/>
    <mergeCell ref="J253:K253"/>
    <mergeCell ref="B254:C254"/>
    <mergeCell ref="E254:G254"/>
    <mergeCell ref="J254:K254"/>
    <mergeCell ref="B255:C255"/>
    <mergeCell ref="E255:G255"/>
    <mergeCell ref="J255:K255"/>
    <mergeCell ref="B256:C256"/>
    <mergeCell ref="E256:G256"/>
    <mergeCell ref="J256:K256"/>
    <mergeCell ref="B257:C257"/>
    <mergeCell ref="E257:G257"/>
    <mergeCell ref="J257:K257"/>
    <mergeCell ref="B258:C258"/>
    <mergeCell ref="E258:G258"/>
    <mergeCell ref="J258:K258"/>
    <mergeCell ref="B259:C259"/>
    <mergeCell ref="E259:G259"/>
    <mergeCell ref="J259:K259"/>
    <mergeCell ref="B260:C260"/>
    <mergeCell ref="E260:G260"/>
    <mergeCell ref="J260:K260"/>
    <mergeCell ref="B261:C261"/>
    <mergeCell ref="E261:G261"/>
    <mergeCell ref="J261:K261"/>
    <mergeCell ref="B262:C262"/>
    <mergeCell ref="E262:G262"/>
    <mergeCell ref="J262:K262"/>
    <mergeCell ref="B263:C263"/>
    <mergeCell ref="E263:G263"/>
    <mergeCell ref="J263:K263"/>
    <mergeCell ref="B264:C264"/>
    <mergeCell ref="E264:G264"/>
    <mergeCell ref="J264:K264"/>
    <mergeCell ref="B265:C265"/>
    <mergeCell ref="E265:G265"/>
    <mergeCell ref="J265:K265"/>
    <mergeCell ref="B266:C266"/>
    <mergeCell ref="E266:G266"/>
    <mergeCell ref="J266:K266"/>
    <mergeCell ref="B267:C267"/>
    <mergeCell ref="E267:G267"/>
    <mergeCell ref="J267:K267"/>
    <mergeCell ref="B268:C268"/>
    <mergeCell ref="E268:G268"/>
    <mergeCell ref="J268:K268"/>
    <mergeCell ref="B269:C269"/>
    <mergeCell ref="E269:G269"/>
    <mergeCell ref="J269:K269"/>
    <mergeCell ref="B270:C270"/>
    <mergeCell ref="E270:G270"/>
    <mergeCell ref="J270:K270"/>
    <mergeCell ref="B271:C271"/>
    <mergeCell ref="E271:G271"/>
    <mergeCell ref="J271:K271"/>
    <mergeCell ref="B272:C272"/>
    <mergeCell ref="E272:G272"/>
    <mergeCell ref="J272:K272"/>
    <mergeCell ref="B273:C273"/>
    <mergeCell ref="E273:G273"/>
    <mergeCell ref="J273:K273"/>
    <mergeCell ref="B274:C274"/>
    <mergeCell ref="E274:G274"/>
    <mergeCell ref="J274:K274"/>
    <mergeCell ref="B275:C275"/>
    <mergeCell ref="E275:G275"/>
    <mergeCell ref="J275:K275"/>
    <mergeCell ref="B276:C276"/>
    <mergeCell ref="E276:G276"/>
    <mergeCell ref="J276:K276"/>
    <mergeCell ref="B277:C277"/>
    <mergeCell ref="E277:G277"/>
    <mergeCell ref="J277:K277"/>
    <mergeCell ref="B278:C278"/>
    <mergeCell ref="E278:G278"/>
    <mergeCell ref="J278:K278"/>
    <mergeCell ref="B279:C279"/>
    <mergeCell ref="E279:G279"/>
    <mergeCell ref="J279:K279"/>
    <mergeCell ref="B280:C280"/>
    <mergeCell ref="E280:G280"/>
    <mergeCell ref="J280:K280"/>
    <mergeCell ref="B281:C281"/>
    <mergeCell ref="E281:G281"/>
    <mergeCell ref="J281:K281"/>
    <mergeCell ref="B282:C282"/>
    <mergeCell ref="E282:G282"/>
    <mergeCell ref="J282:K282"/>
    <mergeCell ref="B283:C283"/>
    <mergeCell ref="E283:G283"/>
    <mergeCell ref="J283:K283"/>
    <mergeCell ref="B284:C284"/>
    <mergeCell ref="E284:G284"/>
    <mergeCell ref="J284:K284"/>
    <mergeCell ref="B285:C285"/>
    <mergeCell ref="E285:G285"/>
    <mergeCell ref="J285:K285"/>
    <mergeCell ref="B286:C286"/>
    <mergeCell ref="E286:G286"/>
    <mergeCell ref="J286:K286"/>
    <mergeCell ref="B287:C287"/>
    <mergeCell ref="E287:G287"/>
    <mergeCell ref="J287:K287"/>
    <mergeCell ref="B288:C288"/>
    <mergeCell ref="E288:G288"/>
    <mergeCell ref="J288:K288"/>
    <mergeCell ref="B289:C289"/>
    <mergeCell ref="E289:G289"/>
    <mergeCell ref="J289:K289"/>
    <mergeCell ref="B290:C290"/>
    <mergeCell ref="E290:G290"/>
    <mergeCell ref="J290:K290"/>
    <mergeCell ref="B291:C291"/>
    <mergeCell ref="E291:G291"/>
    <mergeCell ref="J291:K291"/>
    <mergeCell ref="B292:C292"/>
    <mergeCell ref="E292:G292"/>
    <mergeCell ref="J292:K292"/>
    <mergeCell ref="B293:C293"/>
    <mergeCell ref="E293:G293"/>
    <mergeCell ref="J293:K293"/>
    <mergeCell ref="B294:C294"/>
    <mergeCell ref="E294:G294"/>
    <mergeCell ref="J294:K294"/>
    <mergeCell ref="B295:C295"/>
    <mergeCell ref="E295:G295"/>
    <mergeCell ref="J295:K295"/>
    <mergeCell ref="B296:C296"/>
    <mergeCell ref="E296:G296"/>
    <mergeCell ref="J296:K296"/>
    <mergeCell ref="B297:C297"/>
    <mergeCell ref="E297:G297"/>
    <mergeCell ref="J297:K297"/>
    <mergeCell ref="B298:C298"/>
    <mergeCell ref="E298:G298"/>
    <mergeCell ref="J298:K298"/>
    <mergeCell ref="B299:C299"/>
    <mergeCell ref="E299:G299"/>
    <mergeCell ref="J299:K299"/>
    <mergeCell ref="B300:C300"/>
    <mergeCell ref="E300:G300"/>
    <mergeCell ref="J300:K300"/>
    <mergeCell ref="B301:C301"/>
    <mergeCell ref="E301:G301"/>
    <mergeCell ref="J301:K301"/>
    <mergeCell ref="B302:C302"/>
    <mergeCell ref="E302:G302"/>
    <mergeCell ref="J302:K302"/>
    <mergeCell ref="B303:C303"/>
    <mergeCell ref="E303:G303"/>
    <mergeCell ref="J303:K303"/>
    <mergeCell ref="B304:C304"/>
    <mergeCell ref="E304:G304"/>
    <mergeCell ref="J304:K304"/>
    <mergeCell ref="B305:C305"/>
    <mergeCell ref="E305:G305"/>
    <mergeCell ref="J305:K305"/>
    <mergeCell ref="B306:C306"/>
    <mergeCell ref="E306:G306"/>
    <mergeCell ref="J306:K306"/>
    <mergeCell ref="B307:C307"/>
    <mergeCell ref="E307:G307"/>
    <mergeCell ref="J307:K307"/>
    <mergeCell ref="B308:C308"/>
    <mergeCell ref="E308:G308"/>
    <mergeCell ref="J308:K308"/>
    <mergeCell ref="B309:C309"/>
    <mergeCell ref="E309:G309"/>
    <mergeCell ref="J309:K309"/>
    <mergeCell ref="B310:C310"/>
    <mergeCell ref="E310:G310"/>
    <mergeCell ref="J310:K310"/>
    <mergeCell ref="A311:K311"/>
    <mergeCell ref="A1:A3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D1:D3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H1:H3"/>
    <mergeCell ref="H60:H61"/>
    <mergeCell ref="H62:H63"/>
    <mergeCell ref="H64:H65"/>
    <mergeCell ref="H66:H67"/>
    <mergeCell ref="H68:H69"/>
    <mergeCell ref="H70:H71"/>
    <mergeCell ref="H72:H73"/>
    <mergeCell ref="H74:H75"/>
    <mergeCell ref="H76:H77"/>
    <mergeCell ref="I1:I3"/>
    <mergeCell ref="I60:I61"/>
    <mergeCell ref="I62:I63"/>
    <mergeCell ref="I64:I65"/>
    <mergeCell ref="I66:I67"/>
    <mergeCell ref="I68:I69"/>
    <mergeCell ref="I70:I71"/>
    <mergeCell ref="I72:I73"/>
    <mergeCell ref="I74:I75"/>
    <mergeCell ref="I76:I77"/>
    <mergeCell ref="L2:L3"/>
    <mergeCell ref="L60:L61"/>
    <mergeCell ref="L62:L63"/>
    <mergeCell ref="L64:L65"/>
    <mergeCell ref="L66:L67"/>
    <mergeCell ref="L68:L69"/>
    <mergeCell ref="L70:L71"/>
    <mergeCell ref="L72:L73"/>
    <mergeCell ref="L74:L75"/>
    <mergeCell ref="L76:L77"/>
    <mergeCell ref="B1:C3"/>
    <mergeCell ref="E1:G3"/>
    <mergeCell ref="J2:K3"/>
    <mergeCell ref="B60:C61"/>
    <mergeCell ref="J60:K61"/>
    <mergeCell ref="E60:G61"/>
    <mergeCell ref="B62:C63"/>
    <mergeCell ref="J62:K63"/>
    <mergeCell ref="E62:G63"/>
    <mergeCell ref="B64:C65"/>
    <mergeCell ref="J64:K65"/>
    <mergeCell ref="E64:G65"/>
    <mergeCell ref="B66:C67"/>
    <mergeCell ref="J66:K67"/>
    <mergeCell ref="E66:G67"/>
    <mergeCell ref="B68:C69"/>
    <mergeCell ref="J68:K69"/>
    <mergeCell ref="E68:G69"/>
    <mergeCell ref="B70:C71"/>
    <mergeCell ref="J70:K71"/>
    <mergeCell ref="E70:G71"/>
    <mergeCell ref="B72:C73"/>
    <mergeCell ref="J72:K73"/>
    <mergeCell ref="E72:G73"/>
    <mergeCell ref="B74:C75"/>
    <mergeCell ref="J74:K75"/>
    <mergeCell ref="E74:G75"/>
    <mergeCell ref="B76:C77"/>
    <mergeCell ref="J76:K77"/>
    <mergeCell ref="E76:G77"/>
  </mergeCells>
  <printOptions horizontalCentered="1"/>
  <pageMargins left="0.51968541666667" right="0.51968541666667" top="0.74803125" bottom="0" header="0" footer="0"/>
  <pageSetup paperSize="9" orientation="portrait"/>
  <headerFooter>
    <oddHeader>&amp;L 
&amp;"宋体,加粗"&amp;10 工程名称: &amp;"宋体,加粗"&amp;10 3#4#仓库土建装饰工程 &amp;C &amp;"宋体,加粗"&amp;20 分部分项工程项目清单计价表
 &amp;"宋体,加粗"&amp;10 标段: &amp;"宋体,加粗"&amp;10  &amp;R 
&amp;"宋体,加粗"&amp;10 第&amp;P页, 共&amp;N页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workbookViewId="0">
      <selection activeCell="A1" sqref="A1"/>
    </sheetView>
  </sheetViews>
  <sheetFormatPr defaultColWidth="9" defaultRowHeight="11.25"/>
  <cols>
    <col min="1" max="1" width="7.11111111111111" customWidth="1"/>
    <col min="2" max="2" width="4.68888888888889" customWidth="1"/>
    <col min="3" max="3" width="10.5444444444444" customWidth="1"/>
    <col min="4" max="4" width="22.2333333333333" customWidth="1"/>
    <col min="5" max="5" width="6.41111111111111" customWidth="1"/>
    <col min="6" max="6" width="9.26666666666667" customWidth="1"/>
    <col min="7" max="7" width="15" customWidth="1"/>
    <col min="8" max="8" width="8.4" customWidth="1"/>
    <col min="9" max="9" width="6.68888888888889" customWidth="1"/>
    <col min="10" max="10" width="17.9222222222222" customWidth="1"/>
  </cols>
  <sheetData>
    <row r="1" ht="23" customHeight="1" spans="1:10">
      <c r="A1" s="5" t="s">
        <v>0</v>
      </c>
      <c r="B1" s="5" t="s">
        <v>70</v>
      </c>
      <c r="C1" s="5"/>
      <c r="D1" s="5" t="s">
        <v>71</v>
      </c>
      <c r="E1" s="5" t="s">
        <v>468</v>
      </c>
      <c r="F1" s="5"/>
      <c r="G1" s="5"/>
      <c r="H1" s="5" t="s">
        <v>469</v>
      </c>
      <c r="I1" s="5"/>
      <c r="J1" s="5" t="s">
        <v>470</v>
      </c>
    </row>
    <row r="2" ht="23" customHeight="1" spans="1:10">
      <c r="A2" s="6" t="s">
        <v>3</v>
      </c>
      <c r="B2" s="7" t="s">
        <v>471</v>
      </c>
      <c r="C2" s="7"/>
      <c r="D2" s="7" t="s">
        <v>472</v>
      </c>
      <c r="E2" s="14" t="s">
        <v>53</v>
      </c>
      <c r="F2" s="14"/>
      <c r="G2" s="14"/>
      <c r="H2" s="10" t="s">
        <v>473</v>
      </c>
      <c r="I2" s="10"/>
      <c r="J2" s="7" t="s">
        <v>53</v>
      </c>
    </row>
    <row r="3" ht="23" customHeight="1" spans="1:10">
      <c r="A3" s="6" t="s">
        <v>42</v>
      </c>
      <c r="B3" s="7" t="s">
        <v>474</v>
      </c>
      <c r="C3" s="7"/>
      <c r="D3" s="7" t="s">
        <v>475</v>
      </c>
      <c r="E3" s="14" t="s">
        <v>53</v>
      </c>
      <c r="F3" s="14"/>
      <c r="G3" s="14"/>
      <c r="H3" s="10" t="s">
        <v>476</v>
      </c>
      <c r="I3" s="10"/>
      <c r="J3" s="7" t="s">
        <v>53</v>
      </c>
    </row>
    <row r="4" ht="36" customHeight="1" spans="1:10">
      <c r="A4" s="6" t="s">
        <v>48</v>
      </c>
      <c r="B4" s="7" t="s">
        <v>477</v>
      </c>
      <c r="C4" s="7"/>
      <c r="D4" s="7" t="s">
        <v>478</v>
      </c>
      <c r="E4" s="14" t="s">
        <v>53</v>
      </c>
      <c r="F4" s="14"/>
      <c r="G4" s="14"/>
      <c r="H4" s="10" t="s">
        <v>479</v>
      </c>
      <c r="I4" s="10"/>
      <c r="J4" s="7" t="s">
        <v>53</v>
      </c>
    </row>
    <row r="5" ht="23" customHeight="1" spans="1:10">
      <c r="A5" s="6" t="s">
        <v>62</v>
      </c>
      <c r="B5" s="7" t="s">
        <v>480</v>
      </c>
      <c r="C5" s="7"/>
      <c r="D5" s="7" t="s">
        <v>481</v>
      </c>
      <c r="E5" s="14" t="s">
        <v>53</v>
      </c>
      <c r="F5" s="14"/>
      <c r="G5" s="14"/>
      <c r="H5" s="10" t="s">
        <v>53</v>
      </c>
      <c r="I5" s="10"/>
      <c r="J5" s="7" t="s">
        <v>53</v>
      </c>
    </row>
    <row r="6" ht="23" customHeight="1" spans="1:10">
      <c r="A6" s="6" t="s">
        <v>65</v>
      </c>
      <c r="B6" s="7" t="s">
        <v>482</v>
      </c>
      <c r="C6" s="7"/>
      <c r="D6" s="7" t="s">
        <v>483</v>
      </c>
      <c r="E6" s="14" t="s">
        <v>53</v>
      </c>
      <c r="F6" s="14"/>
      <c r="G6" s="14"/>
      <c r="H6" s="10" t="s">
        <v>53</v>
      </c>
      <c r="I6" s="10"/>
      <c r="J6" s="7" t="s">
        <v>53</v>
      </c>
    </row>
    <row r="7" ht="23" customHeight="1" spans="1:10">
      <c r="A7" s="6" t="s">
        <v>484</v>
      </c>
      <c r="B7" s="7" t="s">
        <v>485</v>
      </c>
      <c r="C7" s="7"/>
      <c r="D7" s="7" t="s">
        <v>486</v>
      </c>
      <c r="E7" s="14" t="s">
        <v>53</v>
      </c>
      <c r="F7" s="14"/>
      <c r="G7" s="14"/>
      <c r="H7" s="10" t="s">
        <v>487</v>
      </c>
      <c r="I7" s="10"/>
      <c r="J7" s="7" t="s">
        <v>53</v>
      </c>
    </row>
    <row r="8" ht="23" customHeight="1" spans="1:10">
      <c r="A8" s="6" t="s">
        <v>488</v>
      </c>
      <c r="B8" s="7" t="s">
        <v>489</v>
      </c>
      <c r="C8" s="7"/>
      <c r="D8" s="7" t="s">
        <v>490</v>
      </c>
      <c r="E8" s="14" t="s">
        <v>53</v>
      </c>
      <c r="F8" s="14"/>
      <c r="G8" s="14"/>
      <c r="H8" s="10" t="s">
        <v>491</v>
      </c>
      <c r="I8" s="10"/>
      <c r="J8" s="7" t="s">
        <v>53</v>
      </c>
    </row>
    <row r="9" ht="23" customHeight="1" spans="1:10">
      <c r="A9" s="6" t="s">
        <v>492</v>
      </c>
      <c r="B9" s="7" t="s">
        <v>493</v>
      </c>
      <c r="C9" s="7"/>
      <c r="D9" s="7" t="s">
        <v>494</v>
      </c>
      <c r="E9" s="14" t="s">
        <v>53</v>
      </c>
      <c r="F9" s="14"/>
      <c r="G9" s="14"/>
      <c r="H9" s="10" t="s">
        <v>495</v>
      </c>
      <c r="I9" s="10"/>
      <c r="J9" s="7" t="s">
        <v>53</v>
      </c>
    </row>
    <row r="10" ht="36" customHeight="1" spans="1:10">
      <c r="A10" s="6" t="s">
        <v>496</v>
      </c>
      <c r="B10" s="7" t="s">
        <v>497</v>
      </c>
      <c r="C10" s="7"/>
      <c r="D10" s="7" t="s">
        <v>498</v>
      </c>
      <c r="E10" s="14" t="s">
        <v>53</v>
      </c>
      <c r="F10" s="14"/>
      <c r="G10" s="14"/>
      <c r="H10" s="10" t="s">
        <v>47</v>
      </c>
      <c r="I10" s="10"/>
      <c r="J10" s="7" t="s">
        <v>499</v>
      </c>
    </row>
    <row r="11" ht="23" customHeight="1" spans="1:10">
      <c r="A11" s="6" t="s">
        <v>500</v>
      </c>
      <c r="B11" s="7" t="s">
        <v>501</v>
      </c>
      <c r="C11" s="7"/>
      <c r="D11" s="7" t="s">
        <v>502</v>
      </c>
      <c r="E11" s="14" t="s">
        <v>53</v>
      </c>
      <c r="F11" s="14"/>
      <c r="G11" s="14"/>
      <c r="H11" s="10" t="s">
        <v>53</v>
      </c>
      <c r="I11" s="10"/>
      <c r="J11" s="7" t="s">
        <v>53</v>
      </c>
    </row>
    <row r="12" ht="23" customHeight="1" spans="1:10">
      <c r="A12" s="6" t="s">
        <v>503</v>
      </c>
      <c r="B12" s="7" t="s">
        <v>504</v>
      </c>
      <c r="C12" s="7"/>
      <c r="D12" s="7" t="s">
        <v>505</v>
      </c>
      <c r="E12" s="14" t="s">
        <v>53</v>
      </c>
      <c r="F12" s="14"/>
      <c r="G12" s="14"/>
      <c r="H12" s="10" t="s">
        <v>53</v>
      </c>
      <c r="I12" s="10"/>
      <c r="J12" s="7" t="s">
        <v>53</v>
      </c>
    </row>
    <row r="13" ht="23" customHeight="1" spans="1:10">
      <c r="A13" s="6" t="s">
        <v>506</v>
      </c>
      <c r="B13" s="7" t="s">
        <v>507</v>
      </c>
      <c r="C13" s="7"/>
      <c r="D13" s="7" t="s">
        <v>508</v>
      </c>
      <c r="E13" s="14" t="s">
        <v>53</v>
      </c>
      <c r="F13" s="14"/>
      <c r="G13" s="14"/>
      <c r="H13" s="10" t="s">
        <v>53</v>
      </c>
      <c r="I13" s="10"/>
      <c r="J13" s="7" t="s">
        <v>53</v>
      </c>
    </row>
    <row r="14" ht="23" customHeight="1" spans="1:10">
      <c r="A14" s="6" t="s">
        <v>509</v>
      </c>
      <c r="B14" s="7" t="s">
        <v>510</v>
      </c>
      <c r="C14" s="7"/>
      <c r="D14" s="7" t="s">
        <v>511</v>
      </c>
      <c r="E14" s="14" t="s">
        <v>53</v>
      </c>
      <c r="F14" s="14"/>
      <c r="G14" s="14"/>
      <c r="H14" s="10" t="s">
        <v>53</v>
      </c>
      <c r="I14" s="10"/>
      <c r="J14" s="7" t="s">
        <v>53</v>
      </c>
    </row>
    <row r="15" ht="23" customHeight="1" spans="1:10">
      <c r="A15" s="6" t="s">
        <v>512</v>
      </c>
      <c r="B15" s="7" t="s">
        <v>513</v>
      </c>
      <c r="C15" s="7"/>
      <c r="D15" s="7" t="s">
        <v>514</v>
      </c>
      <c r="E15" s="14" t="s">
        <v>53</v>
      </c>
      <c r="F15" s="14"/>
      <c r="G15" s="14"/>
      <c r="H15" s="10" t="s">
        <v>53</v>
      </c>
      <c r="I15" s="10"/>
      <c r="J15" s="7" t="s">
        <v>53</v>
      </c>
    </row>
    <row r="16" ht="36" customHeight="1" spans="1:10">
      <c r="A16" s="6" t="s">
        <v>515</v>
      </c>
      <c r="B16" s="7" t="s">
        <v>516</v>
      </c>
      <c r="C16" s="7"/>
      <c r="D16" s="7" t="s">
        <v>517</v>
      </c>
      <c r="E16" s="14" t="s">
        <v>53</v>
      </c>
      <c r="F16" s="14"/>
      <c r="G16" s="14"/>
      <c r="H16" s="10" t="s">
        <v>53</v>
      </c>
      <c r="I16" s="10"/>
      <c r="J16" s="7" t="s">
        <v>53</v>
      </c>
    </row>
    <row r="17" ht="66" customHeight="1" spans="1:10">
      <c r="A17" s="6" t="s">
        <v>518</v>
      </c>
      <c r="B17" s="7" t="s">
        <v>519</v>
      </c>
      <c r="C17" s="7"/>
      <c r="D17" s="7" t="s">
        <v>520</v>
      </c>
      <c r="E17" s="14" t="s">
        <v>53</v>
      </c>
      <c r="F17" s="14"/>
      <c r="G17" s="14"/>
      <c r="H17" s="10" t="s">
        <v>53</v>
      </c>
      <c r="I17" s="10"/>
      <c r="J17" s="7" t="s">
        <v>521</v>
      </c>
    </row>
    <row r="18" ht="51" customHeight="1" spans="1:10">
      <c r="A18" s="6" t="s">
        <v>522</v>
      </c>
      <c r="B18" s="7" t="s">
        <v>523</v>
      </c>
      <c r="C18" s="7"/>
      <c r="D18" s="7" t="s">
        <v>524</v>
      </c>
      <c r="E18" s="14" t="s">
        <v>53</v>
      </c>
      <c r="F18" s="14"/>
      <c r="G18" s="14"/>
      <c r="H18" s="10" t="s">
        <v>53</v>
      </c>
      <c r="I18" s="10"/>
      <c r="J18" s="7" t="s">
        <v>53</v>
      </c>
    </row>
    <row r="19" ht="36" customHeight="1" spans="1:10">
      <c r="A19" s="6" t="s">
        <v>525</v>
      </c>
      <c r="B19" s="7" t="s">
        <v>526</v>
      </c>
      <c r="C19" s="7"/>
      <c r="D19" s="7" t="s">
        <v>527</v>
      </c>
      <c r="E19" s="14" t="s">
        <v>53</v>
      </c>
      <c r="F19" s="14"/>
      <c r="G19" s="14"/>
      <c r="H19" s="10" t="s">
        <v>53</v>
      </c>
      <c r="I19" s="10"/>
      <c r="J19" s="7" t="s">
        <v>53</v>
      </c>
    </row>
    <row r="20" ht="23" customHeight="1" spans="1:10">
      <c r="A20" s="6" t="s">
        <v>528</v>
      </c>
      <c r="B20" s="7" t="s">
        <v>529</v>
      </c>
      <c r="C20" s="7"/>
      <c r="D20" s="7" t="s">
        <v>530</v>
      </c>
      <c r="E20" s="14" t="s">
        <v>53</v>
      </c>
      <c r="F20" s="14"/>
      <c r="G20" s="14"/>
      <c r="H20" s="10" t="s">
        <v>53</v>
      </c>
      <c r="I20" s="10"/>
      <c r="J20" s="7" t="s">
        <v>53</v>
      </c>
    </row>
    <row r="21" ht="23" customHeight="1" spans="1:10">
      <c r="A21" s="6" t="s">
        <v>531</v>
      </c>
      <c r="B21" s="7" t="s">
        <v>532</v>
      </c>
      <c r="C21" s="7"/>
      <c r="D21" s="7" t="s">
        <v>533</v>
      </c>
      <c r="E21" s="14" t="s">
        <v>53</v>
      </c>
      <c r="F21" s="14"/>
      <c r="G21" s="14"/>
      <c r="H21" s="10" t="s">
        <v>53</v>
      </c>
      <c r="I21" s="10"/>
      <c r="J21" s="7" t="s">
        <v>53</v>
      </c>
    </row>
    <row r="22" ht="23" customHeight="1" spans="1:10">
      <c r="A22" s="6" t="s">
        <v>534</v>
      </c>
      <c r="B22" s="7" t="s">
        <v>535</v>
      </c>
      <c r="C22" s="7"/>
      <c r="D22" s="7" t="s">
        <v>536</v>
      </c>
      <c r="E22" s="14" t="s">
        <v>53</v>
      </c>
      <c r="F22" s="14"/>
      <c r="G22" s="14"/>
      <c r="H22" s="10" t="s">
        <v>53</v>
      </c>
      <c r="I22" s="10"/>
      <c r="J22" s="7" t="s">
        <v>53</v>
      </c>
    </row>
    <row r="23" ht="36" customHeight="1" spans="1:10">
      <c r="A23" s="6" t="s">
        <v>537</v>
      </c>
      <c r="B23" s="7" t="s">
        <v>538</v>
      </c>
      <c r="C23" s="7"/>
      <c r="D23" s="7" t="s">
        <v>539</v>
      </c>
      <c r="E23" s="14" t="s">
        <v>53</v>
      </c>
      <c r="F23" s="14"/>
      <c r="G23" s="14"/>
      <c r="H23" s="10" t="s">
        <v>53</v>
      </c>
      <c r="I23" s="10"/>
      <c r="J23" s="7" t="s">
        <v>53</v>
      </c>
    </row>
    <row r="24" ht="23" customHeight="1" spans="1:10">
      <c r="A24" s="6" t="s">
        <v>540</v>
      </c>
      <c r="B24" s="7" t="s">
        <v>541</v>
      </c>
      <c r="C24" s="7"/>
      <c r="D24" s="7" t="s">
        <v>542</v>
      </c>
      <c r="E24" s="14" t="s">
        <v>53</v>
      </c>
      <c r="F24" s="14"/>
      <c r="G24" s="14"/>
      <c r="H24" s="10" t="s">
        <v>53</v>
      </c>
      <c r="I24" s="10"/>
      <c r="J24" s="7" t="s">
        <v>53</v>
      </c>
    </row>
    <row r="25" ht="23" customHeight="1" spans="1:10">
      <c r="A25" s="6" t="s">
        <v>543</v>
      </c>
      <c r="B25" s="7" t="s">
        <v>544</v>
      </c>
      <c r="C25" s="7"/>
      <c r="D25" s="7" t="s">
        <v>545</v>
      </c>
      <c r="E25" s="14" t="s">
        <v>53</v>
      </c>
      <c r="F25" s="14"/>
      <c r="G25" s="14"/>
      <c r="H25" s="10" t="s">
        <v>53</v>
      </c>
      <c r="I25" s="10"/>
      <c r="J25" s="7" t="s">
        <v>53</v>
      </c>
    </row>
    <row r="26" ht="36" customHeight="1" spans="1:10">
      <c r="A26" s="6" t="s">
        <v>546</v>
      </c>
      <c r="B26" s="7" t="s">
        <v>547</v>
      </c>
      <c r="C26" s="7"/>
      <c r="D26" s="7" t="s">
        <v>548</v>
      </c>
      <c r="E26" s="14" t="s">
        <v>53</v>
      </c>
      <c r="F26" s="14"/>
      <c r="G26" s="14"/>
      <c r="H26" s="10" t="s">
        <v>53</v>
      </c>
      <c r="I26" s="10"/>
      <c r="J26" s="7" t="s">
        <v>53</v>
      </c>
    </row>
    <row r="27" ht="23" customHeight="1" spans="1:10">
      <c r="A27" s="6" t="s">
        <v>549</v>
      </c>
      <c r="B27" s="7" t="s">
        <v>550</v>
      </c>
      <c r="C27" s="7"/>
      <c r="D27" s="7" t="s">
        <v>551</v>
      </c>
      <c r="E27" s="14" t="s">
        <v>53</v>
      </c>
      <c r="F27" s="14"/>
      <c r="G27" s="14"/>
      <c r="H27" s="10" t="s">
        <v>53</v>
      </c>
      <c r="I27" s="10"/>
      <c r="J27" s="7" t="s">
        <v>53</v>
      </c>
    </row>
    <row r="28" ht="23" customHeight="1" spans="1:10">
      <c r="A28" s="6" t="s">
        <v>467</v>
      </c>
      <c r="B28" s="6"/>
      <c r="C28" s="6"/>
      <c r="D28" s="6"/>
      <c r="E28" s="6"/>
      <c r="F28" s="6"/>
      <c r="G28" s="6"/>
      <c r="H28" s="10" t="s">
        <v>44</v>
      </c>
      <c r="I28" s="10"/>
      <c r="J28" s="6" t="s">
        <v>552</v>
      </c>
    </row>
  </sheetData>
  <mergeCells count="83">
    <mergeCell ref="B1:C1"/>
    <mergeCell ref="E1:G1"/>
    <mergeCell ref="H1:I1"/>
    <mergeCell ref="B2:C2"/>
    <mergeCell ref="E2:G2"/>
    <mergeCell ref="H2:I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B26:C26"/>
    <mergeCell ref="E26:G26"/>
    <mergeCell ref="H26:I26"/>
    <mergeCell ref="B27:C27"/>
    <mergeCell ref="E27:G27"/>
    <mergeCell ref="H27:I27"/>
    <mergeCell ref="A28:G28"/>
    <mergeCell ref="H28:I28"/>
  </mergeCells>
  <printOptions horizontalCentered="1"/>
  <pageMargins left="0.51968541666667" right="0.51968541666667" top="0.74803125" bottom="0" header="0" footer="0"/>
  <pageSetup paperSize="9" orientation="portrait"/>
  <headerFooter>
    <oddHeader>&amp;L 
&amp;"宋体,加粗"&amp;10 工程名称: &amp;"宋体,加粗"&amp;10 3#4#仓库土建装饰工程 &amp;C &amp;"宋体,加粗"&amp;20 措施项目清单计价表
 &amp;"宋体,加粗"&amp;10 标段: &amp;"宋体,加粗"&amp;10  &amp;R 
&amp;"宋体,加粗"&amp;10 第&amp;P页, 共&amp;N页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A1:J1"/>
    </sheetView>
  </sheetViews>
  <sheetFormatPr defaultColWidth="9" defaultRowHeight="11.25"/>
  <cols>
    <col min="1" max="1" width="7.11111111111111" customWidth="1"/>
    <col min="2" max="2" width="4.68888888888889" customWidth="1"/>
    <col min="3" max="3" width="29.8555555555556" customWidth="1"/>
    <col min="4" max="4" width="11.4" customWidth="1"/>
    <col min="5" max="6" width="4.68888888888889" customWidth="1"/>
    <col min="7" max="7" width="11.2666666666667" customWidth="1"/>
    <col min="8" max="8" width="13" customWidth="1"/>
    <col min="9" max="9" width="2.97777777777778" customWidth="1"/>
    <col min="10" max="10" width="21.7777777777778" customWidth="1"/>
  </cols>
  <sheetData>
    <row r="1" ht="36" customHeight="1" spans="1:10">
      <c r="A1" s="1" t="s">
        <v>553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554</v>
      </c>
      <c r="B2" s="2"/>
      <c r="C2" s="2" t="s">
        <v>555</v>
      </c>
      <c r="D2" s="2"/>
      <c r="E2" s="3" t="s">
        <v>556</v>
      </c>
      <c r="F2" s="3"/>
      <c r="G2" s="2" t="s">
        <v>53</v>
      </c>
      <c r="H2" s="2"/>
      <c r="I2" s="3" t="s">
        <v>557</v>
      </c>
      <c r="J2" s="3"/>
    </row>
    <row r="3" ht="36" customHeight="1" spans="1:10">
      <c r="A3" s="5" t="s">
        <v>0</v>
      </c>
      <c r="B3" s="5" t="s">
        <v>71</v>
      </c>
      <c r="C3" s="5"/>
      <c r="D3" s="5" t="s">
        <v>558</v>
      </c>
      <c r="E3" s="5"/>
      <c r="F3" s="5" t="s">
        <v>559</v>
      </c>
      <c r="G3" s="5"/>
      <c r="H3" s="5" t="s">
        <v>560</v>
      </c>
      <c r="I3" s="5"/>
      <c r="J3" s="5" t="s">
        <v>470</v>
      </c>
    </row>
    <row r="4" ht="23" customHeight="1" spans="1:10">
      <c r="A4" s="6" t="s">
        <v>3</v>
      </c>
      <c r="B4" s="7" t="s">
        <v>561</v>
      </c>
      <c r="C4" s="7"/>
      <c r="D4" s="10" t="s">
        <v>53</v>
      </c>
      <c r="E4" s="10"/>
      <c r="F4" s="10" t="s">
        <v>53</v>
      </c>
      <c r="G4" s="10"/>
      <c r="H4" s="7" t="s">
        <v>53</v>
      </c>
      <c r="I4" s="7"/>
      <c r="J4" s="11" t="s">
        <v>53</v>
      </c>
    </row>
    <row r="5" ht="23" customHeight="1" spans="1:10">
      <c r="A5" s="6" t="s">
        <v>42</v>
      </c>
      <c r="B5" s="7" t="s">
        <v>562</v>
      </c>
      <c r="C5" s="7"/>
      <c r="D5" s="10" t="s">
        <v>53</v>
      </c>
      <c r="E5" s="10"/>
      <c r="F5" s="10" t="s">
        <v>53</v>
      </c>
      <c r="G5" s="10"/>
      <c r="H5" s="7" t="s">
        <v>53</v>
      </c>
      <c r="I5" s="7"/>
      <c r="J5" s="11" t="s">
        <v>563</v>
      </c>
    </row>
    <row r="6" ht="23" customHeight="1" spans="1:10">
      <c r="A6" s="6" t="s">
        <v>48</v>
      </c>
      <c r="B6" s="7" t="s">
        <v>564</v>
      </c>
      <c r="C6" s="7"/>
      <c r="D6" s="10" t="s">
        <v>53</v>
      </c>
      <c r="E6" s="10"/>
      <c r="F6" s="10" t="s">
        <v>53</v>
      </c>
      <c r="G6" s="10"/>
      <c r="H6" s="7" t="s">
        <v>53</v>
      </c>
      <c r="I6" s="7"/>
      <c r="J6" s="11" t="s">
        <v>53</v>
      </c>
    </row>
    <row r="7" ht="23" customHeight="1" spans="1:10">
      <c r="A7" s="6" t="s">
        <v>62</v>
      </c>
      <c r="B7" s="7" t="s">
        <v>565</v>
      </c>
      <c r="C7" s="7"/>
      <c r="D7" s="10" t="s">
        <v>53</v>
      </c>
      <c r="E7" s="10"/>
      <c r="F7" s="10" t="s">
        <v>53</v>
      </c>
      <c r="G7" s="10"/>
      <c r="H7" s="7" t="s">
        <v>53</v>
      </c>
      <c r="I7" s="7"/>
      <c r="J7" s="11" t="s">
        <v>53</v>
      </c>
    </row>
    <row r="8" ht="51" customHeight="1" spans="1:10">
      <c r="A8" s="6" t="s">
        <v>65</v>
      </c>
      <c r="B8" s="7" t="s">
        <v>566</v>
      </c>
      <c r="C8" s="7"/>
      <c r="D8" s="10" t="s">
        <v>50</v>
      </c>
      <c r="E8" s="10"/>
      <c r="F8" s="10" t="s">
        <v>53</v>
      </c>
      <c r="G8" s="10"/>
      <c r="H8" s="7" t="s">
        <v>53</v>
      </c>
      <c r="I8" s="7"/>
      <c r="J8" s="11" t="s">
        <v>567</v>
      </c>
    </row>
    <row r="9" ht="66" customHeight="1" spans="1:10">
      <c r="A9" s="6" t="s">
        <v>484</v>
      </c>
      <c r="B9" s="7" t="s">
        <v>568</v>
      </c>
      <c r="C9" s="7"/>
      <c r="D9" s="10" t="s">
        <v>53</v>
      </c>
      <c r="E9" s="10"/>
      <c r="F9" s="10" t="s">
        <v>53</v>
      </c>
      <c r="G9" s="10"/>
      <c r="H9" s="7" t="s">
        <v>53</v>
      </c>
      <c r="I9" s="7"/>
      <c r="J9" s="11" t="s">
        <v>569</v>
      </c>
    </row>
    <row r="10" ht="23" customHeight="1" spans="1:10">
      <c r="A10" s="6" t="s">
        <v>488</v>
      </c>
      <c r="B10" s="7" t="s">
        <v>570</v>
      </c>
      <c r="C10" s="7"/>
      <c r="D10" s="10" t="s">
        <v>53</v>
      </c>
      <c r="E10" s="10"/>
      <c r="F10" s="10" t="s">
        <v>53</v>
      </c>
      <c r="G10" s="10"/>
      <c r="H10" s="7" t="s">
        <v>53</v>
      </c>
      <c r="I10" s="7"/>
      <c r="J10" s="11" t="s">
        <v>53</v>
      </c>
    </row>
    <row r="11" ht="23" customHeight="1" spans="1:10">
      <c r="A11" s="6" t="s">
        <v>467</v>
      </c>
      <c r="B11" s="6"/>
      <c r="C11" s="6"/>
      <c r="D11" s="10" t="s">
        <v>50</v>
      </c>
      <c r="E11" s="10"/>
      <c r="F11" s="11" t="s">
        <v>53</v>
      </c>
      <c r="G11" s="11"/>
      <c r="H11" s="11" t="s">
        <v>53</v>
      </c>
      <c r="I11" s="11"/>
      <c r="J11" s="6" t="s">
        <v>552</v>
      </c>
    </row>
  </sheetData>
  <mergeCells count="42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B10:C10"/>
    <mergeCell ref="D10:E10"/>
    <mergeCell ref="F10:G10"/>
    <mergeCell ref="H10:I10"/>
    <mergeCell ref="A11:C11"/>
    <mergeCell ref="D11:E11"/>
    <mergeCell ref="F11:G11"/>
    <mergeCell ref="H11:I11"/>
  </mergeCells>
  <printOptions horizontalCentered="1"/>
  <pageMargins left="0.51968541666667" right="0.51968541666667" top="0.74803125" bottom="0" header="0" footer="0"/>
  <pageSetup paperSize="9" orientation="portrait"/>
  <headerFooter/>
  <rowBreaks count="1" manualBreakCount="1">
    <brk id="1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workbookViewId="0">
      <selection activeCell="A1" sqref="A1:M1"/>
    </sheetView>
  </sheetViews>
  <sheetFormatPr defaultColWidth="9" defaultRowHeight="11.25"/>
  <cols>
    <col min="1" max="1" width="4.97777777777778" customWidth="1"/>
    <col min="2" max="2" width="2.12222222222222" customWidth="1"/>
    <col min="3" max="3" width="5.97777777777778" customWidth="1"/>
    <col min="4" max="4" width="17" customWidth="1"/>
    <col min="5" max="5" width="13.4555555555556" customWidth="1"/>
    <col min="6" max="6" width="9.68888888888889" customWidth="1"/>
    <col min="7" max="7" width="1.55555555555556" customWidth="1"/>
    <col min="8" max="8" width="9.26666666666667" customWidth="1"/>
    <col min="9" max="9" width="5.11111111111111" customWidth="1"/>
    <col min="10" max="10" width="15.7777777777778" customWidth="1"/>
    <col min="11" max="11" width="3.83333333333333" customWidth="1"/>
    <col min="12" max="12" width="13.9222222222222" customWidth="1"/>
    <col min="13" max="13" width="10.1666666666667" customWidth="1"/>
  </cols>
  <sheetData>
    <row r="1" ht="36" customHeight="1" spans="1:13">
      <c r="A1" s="1" t="s">
        <v>571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4" customHeight="1" spans="1:13">
      <c r="A2" s="2" t="s">
        <v>554</v>
      </c>
      <c r="B2" s="2"/>
      <c r="C2" s="2"/>
      <c r="D2" s="2" t="s">
        <v>555</v>
      </c>
      <c r="E2" s="2"/>
      <c r="F2" s="2"/>
      <c r="G2" s="2"/>
      <c r="H2" s="3" t="s">
        <v>556</v>
      </c>
      <c r="I2" s="2" t="s">
        <v>53</v>
      </c>
      <c r="J2" s="2"/>
      <c r="K2" s="2"/>
      <c r="L2" s="3" t="s">
        <v>557</v>
      </c>
      <c r="M2" s="3"/>
    </row>
    <row r="3" ht="23" customHeight="1" spans="1:13">
      <c r="A3" s="5" t="s">
        <v>0</v>
      </c>
      <c r="B3" s="5"/>
      <c r="C3" s="5" t="s">
        <v>71</v>
      </c>
      <c r="D3" s="5"/>
      <c r="E3" s="5" t="s">
        <v>572</v>
      </c>
      <c r="F3" s="5" t="s">
        <v>573</v>
      </c>
      <c r="G3" s="5" t="s">
        <v>574</v>
      </c>
      <c r="H3" s="5"/>
      <c r="I3" s="5"/>
      <c r="J3" s="5" t="s">
        <v>575</v>
      </c>
      <c r="K3" s="5" t="s">
        <v>576</v>
      </c>
      <c r="L3" s="5"/>
      <c r="M3" s="5" t="s">
        <v>470</v>
      </c>
    </row>
    <row r="4" ht="23" customHeight="1" spans="1:13">
      <c r="A4" s="6" t="s">
        <v>3</v>
      </c>
      <c r="B4" s="6"/>
      <c r="C4" s="7" t="s">
        <v>577</v>
      </c>
      <c r="D4" s="7"/>
      <c r="E4" s="9" t="s">
        <v>53</v>
      </c>
      <c r="F4" s="10" t="s">
        <v>53</v>
      </c>
      <c r="G4" s="10" t="s">
        <v>53</v>
      </c>
      <c r="H4" s="10"/>
      <c r="I4" s="10"/>
      <c r="J4" s="11" t="s">
        <v>53</v>
      </c>
      <c r="K4" s="11" t="s">
        <v>53</v>
      </c>
      <c r="L4" s="11"/>
      <c r="M4" s="11" t="s">
        <v>53</v>
      </c>
    </row>
    <row r="5" ht="23" customHeight="1" spans="1:13">
      <c r="A5" s="6" t="s">
        <v>42</v>
      </c>
      <c r="B5" s="6"/>
      <c r="C5" s="7" t="s">
        <v>578</v>
      </c>
      <c r="D5" s="7"/>
      <c r="E5" s="9" t="s">
        <v>53</v>
      </c>
      <c r="F5" s="10" t="s">
        <v>53</v>
      </c>
      <c r="G5" s="10" t="s">
        <v>53</v>
      </c>
      <c r="H5" s="10"/>
      <c r="I5" s="10"/>
      <c r="J5" s="11" t="s">
        <v>53</v>
      </c>
      <c r="K5" s="11" t="s">
        <v>53</v>
      </c>
      <c r="L5" s="11"/>
      <c r="M5" s="11" t="s">
        <v>53</v>
      </c>
    </row>
    <row r="6" ht="23" customHeight="1" spans="1:13">
      <c r="A6" s="6" t="s">
        <v>45</v>
      </c>
      <c r="B6" s="6"/>
      <c r="C6" s="7" t="s">
        <v>53</v>
      </c>
      <c r="D6" s="7"/>
      <c r="E6" s="9" t="s">
        <v>53</v>
      </c>
      <c r="F6" s="10" t="s">
        <v>53</v>
      </c>
      <c r="G6" s="10" t="s">
        <v>53</v>
      </c>
      <c r="H6" s="10"/>
      <c r="I6" s="10"/>
      <c r="J6" s="11" t="s">
        <v>53</v>
      </c>
      <c r="K6" s="11" t="s">
        <v>53</v>
      </c>
      <c r="L6" s="11"/>
      <c r="M6" s="11" t="s">
        <v>53</v>
      </c>
    </row>
    <row r="7" ht="23" customHeight="1" spans="1:13">
      <c r="A7" s="6" t="s">
        <v>48</v>
      </c>
      <c r="B7" s="6"/>
      <c r="C7" s="7" t="s">
        <v>579</v>
      </c>
      <c r="D7" s="7"/>
      <c r="E7" s="9" t="s">
        <v>53</v>
      </c>
      <c r="F7" s="10" t="s">
        <v>53</v>
      </c>
      <c r="G7" s="10" t="s">
        <v>53</v>
      </c>
      <c r="H7" s="10"/>
      <c r="I7" s="10"/>
      <c r="J7" s="11" t="s">
        <v>53</v>
      </c>
      <c r="K7" s="11" t="s">
        <v>53</v>
      </c>
      <c r="L7" s="11"/>
      <c r="M7" s="11" t="s">
        <v>53</v>
      </c>
    </row>
    <row r="8" ht="23" customHeight="1" spans="1:13">
      <c r="A8" s="6" t="s">
        <v>51</v>
      </c>
      <c r="B8" s="6"/>
      <c r="C8" s="7" t="s">
        <v>53</v>
      </c>
      <c r="D8" s="7"/>
      <c r="E8" s="9" t="s">
        <v>53</v>
      </c>
      <c r="F8" s="10" t="s">
        <v>53</v>
      </c>
      <c r="G8" s="10" t="s">
        <v>53</v>
      </c>
      <c r="H8" s="10"/>
      <c r="I8" s="10"/>
      <c r="J8" s="11" t="s">
        <v>53</v>
      </c>
      <c r="K8" s="11" t="s">
        <v>53</v>
      </c>
      <c r="L8" s="11"/>
      <c r="M8" s="11" t="s">
        <v>53</v>
      </c>
    </row>
    <row r="9" ht="23" customHeight="1" spans="1:13">
      <c r="A9" s="6" t="s">
        <v>62</v>
      </c>
      <c r="B9" s="6"/>
      <c r="C9" s="7" t="s">
        <v>580</v>
      </c>
      <c r="D9" s="7"/>
      <c r="E9" s="9" t="s">
        <v>53</v>
      </c>
      <c r="F9" s="10" t="s">
        <v>53</v>
      </c>
      <c r="G9" s="10" t="s">
        <v>53</v>
      </c>
      <c r="H9" s="10"/>
      <c r="I9" s="10"/>
      <c r="J9" s="11" t="s">
        <v>53</v>
      </c>
      <c r="K9" s="11" t="s">
        <v>53</v>
      </c>
      <c r="L9" s="11"/>
      <c r="M9" s="11" t="s">
        <v>53</v>
      </c>
    </row>
    <row r="10" ht="23" customHeight="1" spans="1:13">
      <c r="A10" s="6" t="s">
        <v>581</v>
      </c>
      <c r="B10" s="6"/>
      <c r="C10" s="7" t="s">
        <v>53</v>
      </c>
      <c r="D10" s="7"/>
      <c r="E10" s="9" t="s">
        <v>53</v>
      </c>
      <c r="F10" s="10" t="s">
        <v>53</v>
      </c>
      <c r="G10" s="10" t="s">
        <v>53</v>
      </c>
      <c r="H10" s="10"/>
      <c r="I10" s="10"/>
      <c r="J10" s="11" t="s">
        <v>53</v>
      </c>
      <c r="K10" s="11" t="s">
        <v>53</v>
      </c>
      <c r="L10" s="11"/>
      <c r="M10" s="11" t="s">
        <v>53</v>
      </c>
    </row>
    <row r="11" ht="23" customHeight="1" spans="1:13">
      <c r="A11" s="6" t="s">
        <v>582</v>
      </c>
      <c r="B11" s="6"/>
      <c r="C11" s="6"/>
      <c r="D11" s="6"/>
      <c r="E11" s="6" t="s">
        <v>583</v>
      </c>
      <c r="F11" s="6" t="s">
        <v>583</v>
      </c>
      <c r="G11" s="10" t="s">
        <v>53</v>
      </c>
      <c r="H11" s="10"/>
      <c r="I11" s="10"/>
      <c r="J11" s="11" t="s">
        <v>53</v>
      </c>
      <c r="K11" s="11" t="s">
        <v>53</v>
      </c>
      <c r="L11" s="11"/>
      <c r="M11" s="6" t="s">
        <v>583</v>
      </c>
    </row>
    <row r="12" ht="23" customHeight="1" spans="1:13">
      <c r="A12" s="6" t="s">
        <v>467</v>
      </c>
      <c r="B12" s="6"/>
      <c r="C12" s="6"/>
      <c r="D12" s="6"/>
      <c r="E12" s="6" t="s">
        <v>583</v>
      </c>
      <c r="F12" s="12" t="s">
        <v>583</v>
      </c>
      <c r="G12" s="10" t="s">
        <v>53</v>
      </c>
      <c r="H12" s="10"/>
      <c r="I12" s="10"/>
      <c r="J12" s="11" t="s">
        <v>53</v>
      </c>
      <c r="K12" s="11" t="s">
        <v>53</v>
      </c>
      <c r="L12" s="11"/>
      <c r="M12" s="6" t="s">
        <v>583</v>
      </c>
    </row>
    <row r="13" ht="61" customHeight="1" spans="1:13">
      <c r="A13" s="13" t="s">
        <v>584</v>
      </c>
      <c r="B13" s="13" t="s">
        <v>585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1"/>
  <pageMargins left="0.51968541666667" right="0.51968541666667" top="0.74803125" bottom="0" header="0" footer="0"/>
  <pageSetup paperSize="9" orientation="portrait"/>
  <headerFooter/>
  <rowBreaks count="1" manualBreakCount="1">
    <brk id="1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A1" sqref="A1:J1"/>
    </sheetView>
  </sheetViews>
  <sheetFormatPr defaultColWidth="9" defaultRowHeight="11.25" outlineLevelRow="4"/>
  <cols>
    <col min="1" max="1" width="7.54444444444444" customWidth="1"/>
    <col min="2" max="2" width="4.25555555555556" customWidth="1"/>
    <col min="3" max="3" width="16.8444444444444" customWidth="1"/>
    <col min="4" max="4" width="23.4666666666667" customWidth="1"/>
    <col min="5" max="5" width="7.96666666666667" customWidth="1"/>
    <col min="6" max="6" width="0.788888888888889" customWidth="1"/>
    <col min="7" max="7" width="17.3111111111111" customWidth="1"/>
    <col min="8" max="8" width="6.25555555555556" customWidth="1"/>
    <col min="9" max="9" width="4.68888888888889" customWidth="1"/>
    <col min="10" max="10" width="18.5444444444444" customWidth="1"/>
  </cols>
  <sheetData>
    <row r="1" ht="36" customHeight="1" spans="1:10">
      <c r="A1" s="1" t="s">
        <v>586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554</v>
      </c>
      <c r="B2" s="2"/>
      <c r="C2" s="2" t="s">
        <v>555</v>
      </c>
      <c r="D2" s="2"/>
      <c r="E2" s="3" t="s">
        <v>556</v>
      </c>
      <c r="F2" s="3"/>
      <c r="G2" s="4" t="s">
        <v>53</v>
      </c>
      <c r="H2" s="4"/>
      <c r="I2" s="3" t="s">
        <v>557</v>
      </c>
      <c r="J2" s="3"/>
    </row>
    <row r="3" ht="23" customHeight="1" spans="1:10">
      <c r="A3" s="5" t="s">
        <v>0</v>
      </c>
      <c r="B3" s="5" t="s">
        <v>71</v>
      </c>
      <c r="C3" s="5"/>
      <c r="D3" s="5" t="s">
        <v>587</v>
      </c>
      <c r="E3" s="5"/>
      <c r="F3" s="5" t="s">
        <v>572</v>
      </c>
      <c r="G3" s="5"/>
      <c r="H3" s="5" t="s">
        <v>588</v>
      </c>
      <c r="I3" s="5"/>
      <c r="J3" s="5" t="s">
        <v>2</v>
      </c>
    </row>
    <row r="4" ht="23" customHeight="1" spans="1:10">
      <c r="A4" s="6" t="s">
        <v>3</v>
      </c>
      <c r="B4" s="7" t="s">
        <v>66</v>
      </c>
      <c r="C4" s="7"/>
      <c r="D4" s="8" t="s">
        <v>589</v>
      </c>
      <c r="E4" s="8"/>
      <c r="F4" s="9" t="s">
        <v>590</v>
      </c>
      <c r="G4" s="9"/>
      <c r="H4" s="10" t="s">
        <v>591</v>
      </c>
      <c r="I4" s="10"/>
      <c r="J4" s="10" t="s">
        <v>67</v>
      </c>
    </row>
    <row r="5" ht="23" customHeight="1" spans="1:10">
      <c r="A5" s="6" t="s">
        <v>68</v>
      </c>
      <c r="B5" s="6"/>
      <c r="C5" s="6"/>
      <c r="D5" s="6"/>
      <c r="E5" s="6"/>
      <c r="F5" s="6"/>
      <c r="G5" s="6"/>
      <c r="H5" s="6"/>
      <c r="I5" s="6"/>
      <c r="J5" s="10" t="s">
        <v>67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1"/>
  <pageMargins left="0.51968541666667" right="0.51968541666667" top="0.74803125" bottom="0" header="0" footer="0"/>
  <pageSetup paperSize="9" orientation="portrait"/>
  <headerFooter/>
  <rowBreaks count="1" manualBreakCount="1">
    <brk id="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工程项目清单汇总表</vt:lpstr>
      <vt:lpstr>分部分项工程项目清单计价表</vt:lpstr>
      <vt:lpstr>措施项目清单计价表</vt:lpstr>
      <vt:lpstr>其他项目清单计价表</vt:lpstr>
      <vt:lpstr>暂列金额明细表</vt:lpstr>
      <vt:lpstr>增值税计价表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建设</cp:lastModifiedBy>
  <dcterms:created xsi:type="dcterms:W3CDTF">2026-07-03T07:34:43Z</dcterms:created>
  <dcterms:modified xsi:type="dcterms:W3CDTF">2026-07-03T07:56:47Z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9862AF0E447D4502935F9726E96D2003_12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
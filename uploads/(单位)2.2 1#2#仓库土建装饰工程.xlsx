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工程项目清单汇总表" sheetId="1" r:id="rId1"/>
    <sheet name="分部分项工程项目清单计价表" sheetId="2" r:id="rId2"/>
    <sheet name="措施项目清单计价表" sheetId="3" r:id="rId3"/>
    <sheet name="其他项目清单计价表" sheetId="4" r:id="rId4"/>
    <sheet name="暂列金额明细表" sheetId="5" r:id="rId5"/>
    <sheet name="增值税计价表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<sst xmlns="http://schemas.openxmlformats.org/spreadsheetml/2006/main" count="3919" uniqueCount="2405">
  <si>
    <t>序号</t>
  </si>
  <si>
    <t>项目内容</t>
  </si>
  <si>
    <t>金额(元)</t>
  </si>
  <si>
    <t>1</t>
  </si>
  <si>
    <t>分部分项工程费</t>
  </si>
  <si>
    <t>93542353.04</t>
  </si>
  <si>
    <t>1.1</t>
  </si>
  <si>
    <t>土石方工程</t>
  </si>
  <si>
    <t>1005764.21</t>
  </si>
  <si>
    <t>1.2</t>
  </si>
  <si>
    <t>砌体工程</t>
  </si>
  <si>
    <t>1120024.97</t>
  </si>
  <si>
    <t>1.3</t>
  </si>
  <si>
    <t>混凝土工程</t>
  </si>
  <si>
    <t>15129568.46</t>
  </si>
  <si>
    <t>1.4</t>
  </si>
  <si>
    <t>模板工程</t>
  </si>
  <si>
    <t>17633959.93</t>
  </si>
  <si>
    <t>1.5</t>
  </si>
  <si>
    <t>钢筋工程</t>
  </si>
  <si>
    <t>23095423.81</t>
  </si>
  <si>
    <t>1.6</t>
  </si>
  <si>
    <t>钢结构工程</t>
  </si>
  <si>
    <t>13035525.05</t>
  </si>
  <si>
    <t>1.7</t>
  </si>
  <si>
    <t>屋面防水工程</t>
  </si>
  <si>
    <t>2931317.68</t>
  </si>
  <si>
    <t>1.8</t>
  </si>
  <si>
    <t>楼地面工程</t>
  </si>
  <si>
    <t>5531685.29</t>
  </si>
  <si>
    <t>1.9</t>
  </si>
  <si>
    <t>墙柱面工程</t>
  </si>
  <si>
    <t>6581041.33</t>
  </si>
  <si>
    <t>1.10</t>
  </si>
  <si>
    <t>天棚面工程</t>
  </si>
  <si>
    <t>3232762.49</t>
  </si>
  <si>
    <t>1.11</t>
  </si>
  <si>
    <t>门窗工程</t>
  </si>
  <si>
    <t>3829769.09</t>
  </si>
  <si>
    <t>1.12</t>
  </si>
  <si>
    <t>其他工程</t>
  </si>
  <si>
    <t>415510.73</t>
  </si>
  <si>
    <t>2</t>
  </si>
  <si>
    <t>措施项目费</t>
  </si>
  <si>
    <t>11109190.20</t>
  </si>
  <si>
    <t>2.1</t>
  </si>
  <si>
    <t>其中：安全生产措施项目</t>
  </si>
  <si>
    <t>3114634.81</t>
  </si>
  <si>
    <t>3</t>
  </si>
  <si>
    <t>其他项目费</t>
  </si>
  <si>
    <t>1724900.99</t>
  </si>
  <si>
    <t>3.1</t>
  </si>
  <si>
    <t>其中：暂列金额</t>
  </si>
  <si>
    <t/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</si>
  <si>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</si>
  <si>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</si>
  <si>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</si>
  <si>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</si>
  <si>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</si>
  <si>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</si>
  <si>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</si>
  <si>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</si>
  <si>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</si>
  <si>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</si>
  <si>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106376444.23</t>
  </si>
  <si>
    <t>5</t>
  </si>
  <si>
    <t>增值税</t>
  </si>
  <si>
    <t>9573879.98</t>
  </si>
  <si>
    <t>合  计</t>
  </si>
  <si>
    <t>115950324.21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</si>
  <si>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</si>
  <si>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</si>
  <si>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</si>
  <si>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</si>
  <si>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</si>
  <si>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</si>
  <si>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</si>
  <si>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010102001001</t>
  </si>
  <si>
    <t>挖基坑土方</t>
  </si>
  <si>
    <t>1、土壤类别:以地勘报告为准
2、挖土深度:综合考虑
3、开挖方式、类型:综合考虑
4、综合考虑按图纸和规范要求而实施、完成这项工程的一切有关费用</t>
  </si>
  <si>
    <t>m3</t>
  </si>
  <si>
    <t>9650.300</t>
  </si>
  <si>
    <t>7.78</t>
  </si>
  <si>
    <t>75079.33</t>
  </si>
  <si>
    <t>010102001002</t>
  </si>
  <si>
    <t>挖基坑土方（桩间土）</t>
  </si>
  <si>
    <t>8.98</t>
  </si>
  <si>
    <t>86659.69</t>
  </si>
  <si>
    <t>010102001003</t>
  </si>
  <si>
    <t>挖沟槽土方</t>
  </si>
  <si>
    <t>16825.090</t>
  </si>
  <si>
    <t>7.68</t>
  </si>
  <si>
    <t>129216.69</t>
  </si>
  <si>
    <t>010102007001</t>
  </si>
  <si>
    <t>回填方</t>
  </si>
  <si>
    <t>1、密实度要求:满足设计要求
2、填方材料品种:满足设计要求
3、填方来源:项目原土
4、取土运距:投标人自行考虑
5、综合考虑按图纸和规范要求而实施、完成这项工程的一切有关费用</t>
  </si>
  <si>
    <t>38411.980</t>
  </si>
  <si>
    <t>14.69</t>
  </si>
  <si>
    <t>564271.99</t>
  </si>
  <si>
    <t>040103002003</t>
  </si>
  <si>
    <t>外购土方资源费</t>
  </si>
  <si>
    <t>1、外购土方资源费</t>
  </si>
  <si>
    <t>5464.120</t>
  </si>
  <si>
    <t>27.55</t>
  </si>
  <si>
    <t>150536.51</t>
  </si>
  <si>
    <t>6</t>
  </si>
  <si>
    <t>010402001001</t>
  </si>
  <si>
    <t>砌块墙</t>
  </si>
  <si>
    <t>1、墙体类型:外墙
2、墙体厚度:200mm
3、砌块品种、规格、强度等级:蒸压加气混凝土砌块，A7.5
4、砂浆强度等级:M7.5专用砂浆
5、超高降效费综合考虑
6、综合考虑按图纸和规范要求而实施、完成这项工程的一切有关费用</t>
  </si>
  <si>
    <t>70.990</t>
  </si>
  <si>
    <t>496.43</t>
  </si>
  <si>
    <t>35241.57</t>
  </si>
  <si>
    <t>7</t>
  </si>
  <si>
    <t>010402001002</t>
  </si>
  <si>
    <t>1、墙体类型:内墙
2、墙体厚度:200mm
3、砌块品种、规格、强度等级:蒸压加气混凝土砌块，A5.0
4、砂浆强度等级:M7.5专用砂浆
5、超高降效费综合考虑
6、综合考虑按图纸和规范要求而实施、完成这项工程的一切有关费用</t>
  </si>
  <si>
    <t>1111.630</t>
  </si>
  <si>
    <t>436.46</t>
  </si>
  <si>
    <t>485182.03</t>
  </si>
  <si>
    <t>8</t>
  </si>
  <si>
    <t>010402001003</t>
  </si>
  <si>
    <t>1、墙体类型:内墙
2、墙体厚度:100mm
3、砌块品种、规格、强度等级:蒸压加气混凝土砌块，A5.0
4、砂浆强度等级:M7.5专用砂浆
5、超高降效费综合考虑
6、综合考虑按图纸和规范要求而实施、完成这项工程的一切有关费用</t>
  </si>
  <si>
    <t>2.090</t>
  </si>
  <si>
    <t>459.18</t>
  </si>
  <si>
    <t>959.69</t>
  </si>
  <si>
    <t>9</t>
  </si>
  <si>
    <t>010401002001</t>
  </si>
  <si>
    <t>实心砖墙</t>
  </si>
  <si>
    <t>1、墙体类型:内墙
2、墙体厚度:200mm
3、砌块品种、规格、强度等级:MU20混凝土实心砖
4、砂浆强度等级:M10专用砂浆
5、超高降效费综合考虑
6、综合考虑按图纸和规范要求而实施、完成这项工程的一切有关费用</t>
  </si>
  <si>
    <t>240.860</t>
  </si>
  <si>
    <t>557.88</t>
  </si>
  <si>
    <t>134370.98</t>
  </si>
  <si>
    <t>10</t>
  </si>
  <si>
    <t>010404001001</t>
  </si>
  <si>
    <t>隔墙板</t>
  </si>
  <si>
    <t>1、隔墙板
2、墙体厚度:200mm
3、轻钢龙骨双面纤维增强硅酸钙板和岩棉组成的复核防火板墙体
4、超高降效费综合考虑
5、综合考虑按图纸和规范要求而实施、完成这项工程的一切有关费用</t>
  </si>
  <si>
    <t>m2</t>
  </si>
  <si>
    <t>2625.520</t>
  </si>
  <si>
    <t>176.83</t>
  </si>
  <si>
    <t>464270.70</t>
  </si>
  <si>
    <t>正负0以下</t>
  </si>
  <si>
    <t>2438261.84</t>
  </si>
  <si>
    <t>11</t>
  </si>
  <si>
    <t>010501001001</t>
  </si>
  <si>
    <t>现浇构混凝土垫层 C15</t>
  </si>
  <si>
    <t>1、混凝土种类:商品混凝土
2、混凝土强度等级:C15
3、综合考虑按图纸和规范要求而实施、完成这项工程的一切有关费用</t>
  </si>
  <si>
    <t>507.340</t>
  </si>
  <si>
    <t>400.81</t>
  </si>
  <si>
    <t>203346.95</t>
  </si>
  <si>
    <t>12</t>
  </si>
  <si>
    <t>010502001001</t>
  </si>
  <si>
    <t>现浇构混凝土桩承台基础 C35 P8</t>
  </si>
  <si>
    <t>1、混凝土种类:泵送商品混凝土
2、混凝土强度等级:C35 P8
3、泵送高度50m以内，运距、塌落度综合考虑
4、综合考虑按图纸和规范要求而实施、完成这项工程的一切有关费用</t>
  </si>
  <si>
    <t>2665.050</t>
  </si>
  <si>
    <t>464.29</t>
  </si>
  <si>
    <t>1237356.06</t>
  </si>
  <si>
    <t>13</t>
  </si>
  <si>
    <t>010502006001</t>
  </si>
  <si>
    <t>现浇混凝土柱 C50</t>
  </si>
  <si>
    <t>1、混凝土种类:泵送商品混凝土
2、混凝土强度等级:C50
3、泵送高度50m以内，运距、塌落度综合考虑
4、超高降效费综合考虑
5、综合考虑按图纸和规范要求而实施、完成这项工程的一切有关费用</t>
  </si>
  <si>
    <t>344.340</t>
  </si>
  <si>
    <t>615.02</t>
  </si>
  <si>
    <t>211775.99</t>
  </si>
  <si>
    <t>14</t>
  </si>
  <si>
    <t>010502006002</t>
  </si>
  <si>
    <t>坡道混凝土圆柱 C40</t>
  </si>
  <si>
    <t>1、混凝土种类:泵送商品混凝土
2、混凝土强度等级:C40
3、泵送高度50m以内，运距、塌落度综合考虑
4、超高降效费综合考虑
5、综合考虑按图纸和规范要求而实施、完成这项工程的一切有关费用</t>
  </si>
  <si>
    <t>33.720</t>
  </si>
  <si>
    <t>581.75</t>
  </si>
  <si>
    <t>19616.61</t>
  </si>
  <si>
    <t>15</t>
  </si>
  <si>
    <t>010502001002</t>
  </si>
  <si>
    <t>现浇构混凝土电梯坑 C35</t>
  </si>
  <si>
    <t>1、混凝土种类:泵送商品混凝土
2、混凝土强度等级:C35 
3、泵送高度50m以内，运距、塌落度综合考虑
4、综合考虑按图纸和规范要求而实施、完成这项工程的一切有关费用</t>
  </si>
  <si>
    <t>1.350</t>
  </si>
  <si>
    <t>490.76</t>
  </si>
  <si>
    <t>662.53</t>
  </si>
  <si>
    <t>16</t>
  </si>
  <si>
    <t>010502010001</t>
  </si>
  <si>
    <t>现浇混凝土墙 C40</t>
  </si>
  <si>
    <t>157.100</t>
  </si>
  <si>
    <t>505.37</t>
  </si>
  <si>
    <t>79393.63</t>
  </si>
  <si>
    <t>17</t>
  </si>
  <si>
    <t>010502003001</t>
  </si>
  <si>
    <t>现浇构混凝土底板 C35</t>
  </si>
  <si>
    <t>274.020</t>
  </si>
  <si>
    <t>458.11</t>
  </si>
  <si>
    <t>125531.30</t>
  </si>
  <si>
    <t>18</t>
  </si>
  <si>
    <t>010502005001</t>
  </si>
  <si>
    <t>现浇构混凝土基础梁 C35</t>
  </si>
  <si>
    <t>1232.830</t>
  </si>
  <si>
    <t>450.14</t>
  </si>
  <si>
    <t>554946.10</t>
  </si>
  <si>
    <t>19</t>
  </si>
  <si>
    <t>010502033001</t>
  </si>
  <si>
    <t>后浇带-基础梁 C40</t>
  </si>
  <si>
    <t>1、混凝土种类:泵送商品混凝土
2、混凝土强度等级:C40（掺加微膨胀剂，掺量8~10%） 
3、运距、塌落度综合考虑
4、综合考虑按图纸和规范要求而实施、完成这项工程的一切有关费用</t>
  </si>
  <si>
    <t>10.370</t>
  </si>
  <si>
    <t>543.17</t>
  </si>
  <si>
    <t>5632.67</t>
  </si>
  <si>
    <t>正负0以上</t>
  </si>
  <si>
    <t>12691306.62</t>
  </si>
  <si>
    <t>20</t>
  </si>
  <si>
    <t>010502006003</t>
  </si>
  <si>
    <t>2002.440</t>
  </si>
  <si>
    <t>1231540.65</t>
  </si>
  <si>
    <t>21</t>
  </si>
  <si>
    <t>010502006004</t>
  </si>
  <si>
    <t>现浇混凝土柱 C45</t>
  </si>
  <si>
    <t>1、混凝土种类:泵送商品混凝土
2、混凝土强度等级:C45
3、泵送高度50m以内，运距、塌落度综合考虑
4、超高降效费综合考虑
5、综合考虑按图纸和规范要求而实施、完成这项工程的一切有关费用</t>
  </si>
  <si>
    <t>1851.050</t>
  </si>
  <si>
    <t>595.06</t>
  </si>
  <si>
    <t>1101485.81</t>
  </si>
  <si>
    <t>22</t>
  </si>
  <si>
    <t>010502006005</t>
  </si>
  <si>
    <t>现浇混凝土柱 C40</t>
  </si>
  <si>
    <t>756.750</t>
  </si>
  <si>
    <t>440239.31</t>
  </si>
  <si>
    <t>23</t>
  </si>
  <si>
    <t>010502006006</t>
  </si>
  <si>
    <t>411.830</t>
  </si>
  <si>
    <t>239582.10</t>
  </si>
  <si>
    <t>24</t>
  </si>
  <si>
    <t>010502010002</t>
  </si>
  <si>
    <t>209.240</t>
  </si>
  <si>
    <t>105743.62</t>
  </si>
  <si>
    <t>25</t>
  </si>
  <si>
    <t>010502011001</t>
  </si>
  <si>
    <t>现浇混凝土梁 C35</t>
  </si>
  <si>
    <t>1、混凝土种类:泵送商品混凝土
2、混凝土强度等级:C35
3、泵送高度50m以内，运距、塌落度综合考虑
4、超高降效费综合考虑
5、综合考虑按图纸和规范要求而实施、完成这项工程的一切有关费用</t>
  </si>
  <si>
    <t>6818.060</t>
  </si>
  <si>
    <t>468.51</t>
  </si>
  <si>
    <t>3194329.29</t>
  </si>
  <si>
    <t>26</t>
  </si>
  <si>
    <t>010502011002</t>
  </si>
  <si>
    <t>现浇混凝土梁 C40</t>
  </si>
  <si>
    <t>6671.210</t>
  </si>
  <si>
    <t>478.38</t>
  </si>
  <si>
    <t>3191373.44</t>
  </si>
  <si>
    <t>27</t>
  </si>
  <si>
    <t>010502013001</t>
  </si>
  <si>
    <t>现浇混凝土板 C35</t>
  </si>
  <si>
    <t>2708.520</t>
  </si>
  <si>
    <t>468.27</t>
  </si>
  <si>
    <t>1268318.66</t>
  </si>
  <si>
    <t>28</t>
  </si>
  <si>
    <t>010502013002</t>
  </si>
  <si>
    <t>现浇混凝土板 C40</t>
  </si>
  <si>
    <t>2496.680</t>
  </si>
  <si>
    <t>478.15</t>
  </si>
  <si>
    <t>1193787.54</t>
  </si>
  <si>
    <t>29</t>
  </si>
  <si>
    <t>010502013003</t>
  </si>
  <si>
    <t>现浇混凝雨蓬 C25</t>
  </si>
  <si>
    <t>1、混凝土种类:商品混凝土
2、混凝土强度等级:C25
3、超高降效费综合考虑
4、综合考虑按图纸和规范要求而实施、完成这项工程的一切有关费用</t>
  </si>
  <si>
    <t>1.000</t>
  </si>
  <si>
    <t>592.77</t>
  </si>
  <si>
    <t>30</t>
  </si>
  <si>
    <t>010502018001</t>
  </si>
  <si>
    <t>现浇混凝坡道板 C35</t>
  </si>
  <si>
    <t>559.050</t>
  </si>
  <si>
    <t>478.67</t>
  </si>
  <si>
    <t>267600.46</t>
  </si>
  <si>
    <t>31</t>
  </si>
  <si>
    <t>010502018002</t>
  </si>
  <si>
    <t>现浇混凝坡道板 C40</t>
  </si>
  <si>
    <t>160.990</t>
  </si>
  <si>
    <t>488.55</t>
  </si>
  <si>
    <t>78651.66</t>
  </si>
  <si>
    <t>32</t>
  </si>
  <si>
    <t>010502018003</t>
  </si>
  <si>
    <t>现浇混凝反檐 C25</t>
  </si>
  <si>
    <t>592.10</t>
  </si>
  <si>
    <t>33</t>
  </si>
  <si>
    <t>010502019001</t>
  </si>
  <si>
    <t>现浇混凝压顶 C25</t>
  </si>
  <si>
    <t>686.15</t>
  </si>
  <si>
    <t>34</t>
  </si>
  <si>
    <t>010502020001</t>
  </si>
  <si>
    <t>现浇混凝楼梯 C35</t>
  </si>
  <si>
    <t>103.110</t>
  </si>
  <si>
    <t>525.94</t>
  </si>
  <si>
    <t>54229.67</t>
  </si>
  <si>
    <t>35</t>
  </si>
  <si>
    <t>010502020002</t>
  </si>
  <si>
    <t>现浇混凝楼梯 C40</t>
  </si>
  <si>
    <t>119.690</t>
  </si>
  <si>
    <t>535.82</t>
  </si>
  <si>
    <t>64132.30</t>
  </si>
  <si>
    <t>36</t>
  </si>
  <si>
    <t>010502021001</t>
  </si>
  <si>
    <t>现浇混凝构造柱 C25</t>
  </si>
  <si>
    <t>112.790</t>
  </si>
  <si>
    <t>615.16</t>
  </si>
  <si>
    <t>69383.90</t>
  </si>
  <si>
    <t>37</t>
  </si>
  <si>
    <t>010502022001</t>
  </si>
  <si>
    <t>现浇混凝圈梁、过梁 C25</t>
  </si>
  <si>
    <t>50.280</t>
  </si>
  <si>
    <t>514.93</t>
  </si>
  <si>
    <t>25890.68</t>
  </si>
  <si>
    <t>38</t>
  </si>
  <si>
    <t>010502024001</t>
  </si>
  <si>
    <t>填充混凝土 C35</t>
  </si>
  <si>
    <t>86.078</t>
  </si>
  <si>
    <t>475.54</t>
  </si>
  <si>
    <t>40933.53</t>
  </si>
  <si>
    <t>39</t>
  </si>
  <si>
    <t>010502033002</t>
  </si>
  <si>
    <t>后浇带-梁C40</t>
  </si>
  <si>
    <t>1、混凝土种类:商品混凝土
2、混凝土强度等级:C40（掺加微膨胀剂，掺量8~10%）
3、超高降效费综合考虑
4、综合考虑按图纸和规范要求而实施、完成这项工程的一切有关费用</t>
  </si>
  <si>
    <t>58.250</t>
  </si>
  <si>
    <t>555.42</t>
  </si>
  <si>
    <t>32353.22</t>
  </si>
  <si>
    <t>40</t>
  </si>
  <si>
    <t>010502033003</t>
  </si>
  <si>
    <t>后浇带-梁C45</t>
  </si>
  <si>
    <t>1、混凝土种类:商品混凝土
2、混凝土强度等级:C45（掺加微膨胀剂，掺量8~10%）
3、超高降效费综合考虑
4、综合考虑按图纸和规范要求而实施、完成这项工程的一切有关费用</t>
  </si>
  <si>
    <t>69.590</t>
  </si>
  <si>
    <t>568.66</t>
  </si>
  <si>
    <t>39573.05</t>
  </si>
  <si>
    <t>41</t>
  </si>
  <si>
    <t>010502033004</t>
  </si>
  <si>
    <t>后浇带-板C40</t>
  </si>
  <si>
    <t>46.070</t>
  </si>
  <si>
    <t>542.34</t>
  </si>
  <si>
    <t>24985.60</t>
  </si>
  <si>
    <t>42</t>
  </si>
  <si>
    <t>010502033005</t>
  </si>
  <si>
    <t>后浇带-板C45</t>
  </si>
  <si>
    <t>45.540</t>
  </si>
  <si>
    <t>555.58</t>
  </si>
  <si>
    <t>25301.11</t>
  </si>
  <si>
    <t>918444.15</t>
  </si>
  <si>
    <t>43</t>
  </si>
  <si>
    <t>010505002001</t>
  </si>
  <si>
    <t>基础模板</t>
  </si>
  <si>
    <t>1、独立基础模板
2、综合考虑按图纸和规范要求而实施、完成这项工程的一切有关费用</t>
  </si>
  <si>
    <t>3710.990</t>
  </si>
  <si>
    <t>48.15</t>
  </si>
  <si>
    <t>178684.17</t>
  </si>
  <si>
    <t>44</t>
  </si>
  <si>
    <t>010505003001</t>
  </si>
  <si>
    <t>基础联系梁模板</t>
  </si>
  <si>
    <t>1、基础梁模板
2、综合考虑按图纸和规范要求而实施、完成这项工程的一切有关费用</t>
  </si>
  <si>
    <t>7573.890</t>
  </si>
  <si>
    <t>56.08</t>
  </si>
  <si>
    <t>424743.75</t>
  </si>
  <si>
    <t>45</t>
  </si>
  <si>
    <t>010505001001</t>
  </si>
  <si>
    <t>基础垫层模板</t>
  </si>
  <si>
    <t>1、基础垫层模板
2、综合考虑按图纸和规范要求而实施、完成这项工程的一切有关费用</t>
  </si>
  <si>
    <t>1023.170</t>
  </si>
  <si>
    <t>28.13</t>
  </si>
  <si>
    <t>28781.77</t>
  </si>
  <si>
    <t>46</t>
  </si>
  <si>
    <t>010505002002</t>
  </si>
  <si>
    <t>1、满堂基础模板
2、综合考虑按图纸和规范要求而实施、完成这项工程的一切有关费用</t>
  </si>
  <si>
    <t>168.870</t>
  </si>
  <si>
    <t>45.26</t>
  </si>
  <si>
    <t>7643.06</t>
  </si>
  <si>
    <t>47</t>
  </si>
  <si>
    <t>010505004001</t>
  </si>
  <si>
    <t>柱面模板</t>
  </si>
  <si>
    <t>1、柱模板 矩形柱模板(周长m) 支模高度3.6m内 1.8外
2、综合考虑按图纸和规范要求而实施、完成这项工程的一切有关费用</t>
  </si>
  <si>
    <t>1259.540</t>
  </si>
  <si>
    <t>59.59</t>
  </si>
  <si>
    <t>75055.99</t>
  </si>
  <si>
    <t>48</t>
  </si>
  <si>
    <t>010505004002</t>
  </si>
  <si>
    <t>1、圆形柱模板(木支撑) 支模高度5.6m内
2、综合考虑按图纸和规范要求而实施、完成这项工程的一切有关费用</t>
  </si>
  <si>
    <t>136.480</t>
  </si>
  <si>
    <t>117.23</t>
  </si>
  <si>
    <t>15999.55</t>
  </si>
  <si>
    <t>49</t>
  </si>
  <si>
    <t>010505008001</t>
  </si>
  <si>
    <t>反檐模板</t>
  </si>
  <si>
    <t>1、反檐模板
2、综合考虑按图纸和规范要求而实施、完成这项工程的一切有关费用</t>
  </si>
  <si>
    <t>2195.070</t>
  </si>
  <si>
    <t>59.17</t>
  </si>
  <si>
    <t>129882.29</t>
  </si>
  <si>
    <t>50</t>
  </si>
  <si>
    <t>010505005001</t>
  </si>
  <si>
    <t>墙面模板</t>
  </si>
  <si>
    <t>1、墙模板 直形墙模板 墙厚(cm以内) 40 支模高度5.6m
2、综合考虑按图纸和规范要求而实施、完成这项工程的一切有关费用</t>
  </si>
  <si>
    <t>822.760</t>
  </si>
  <si>
    <t>48.23</t>
  </si>
  <si>
    <t>39681.71</t>
  </si>
  <si>
    <t>51</t>
  </si>
  <si>
    <t>010505007001</t>
  </si>
  <si>
    <t>楼板、屋面板模板</t>
  </si>
  <si>
    <t>1、板模板 有梁板模板 支模高度3.6m
2、综合考虑按图纸和规范要求而实施、完成这项工程的一切有关费用</t>
  </si>
  <si>
    <t>228.120</t>
  </si>
  <si>
    <t>60.04</t>
  </si>
  <si>
    <t>13696.32</t>
  </si>
  <si>
    <t>52</t>
  </si>
  <si>
    <t>010505019001</t>
  </si>
  <si>
    <t>后浇带-基础梁模板</t>
  </si>
  <si>
    <t>1、后浇带-基础梁模板
2、综合考虑按图纸和规范要求而实施、完成这项工程的一切有关费用</t>
  </si>
  <si>
    <t>76.240</t>
  </si>
  <si>
    <t>4275.54</t>
  </si>
  <si>
    <t>16715515.78</t>
  </si>
  <si>
    <t>53</t>
  </si>
  <si>
    <t>010505004003</t>
  </si>
  <si>
    <t>1.柱模板 矩形柱模板(周长m) 支模高度10.6m 1.8外
2、综合考虑按图纸和规范要求而实施、完成这项工程的一切有关费用</t>
  </si>
  <si>
    <t>12835.580</t>
  </si>
  <si>
    <t>106.94</t>
  </si>
  <si>
    <t>1372636.93</t>
  </si>
  <si>
    <t>54</t>
  </si>
  <si>
    <t>010505004004</t>
  </si>
  <si>
    <t>1、柱模板 矩形柱模板(周长m) 支模高度10.6m 1.8内
2、综合考虑按图纸和规范要求而实施、完成这项工程的一切有关费用</t>
  </si>
  <si>
    <t>173.760</t>
  </si>
  <si>
    <t>101.10</t>
  </si>
  <si>
    <t>17567.14</t>
  </si>
  <si>
    <t>55</t>
  </si>
  <si>
    <t>010505004005</t>
  </si>
  <si>
    <t>1.柱模板 矩形柱模板(周长m) 支模高度8.6m 1.8外
2、综合考虑按图纸和规范要求而实施、完成这项工程的一切有关费用</t>
  </si>
  <si>
    <t>2839.650</t>
  </si>
  <si>
    <t>97.98</t>
  </si>
  <si>
    <t>278228.91</t>
  </si>
  <si>
    <t>56</t>
  </si>
  <si>
    <t>010505004006</t>
  </si>
  <si>
    <t>1、柱模板 矩形柱模板(周长m) 支模高度8.6m 1.8内
2、综合考虑按图纸和规范要求而实施、完成这项工程的一切有关费用</t>
  </si>
  <si>
    <t>46.790</t>
  </si>
  <si>
    <t>92.14</t>
  </si>
  <si>
    <t>4311.23</t>
  </si>
  <si>
    <t>57</t>
  </si>
  <si>
    <t>010505004007</t>
  </si>
  <si>
    <t>765.905</t>
  </si>
  <si>
    <t>89787.04</t>
  </si>
  <si>
    <t>58</t>
  </si>
  <si>
    <t>010505004008</t>
  </si>
  <si>
    <t>1、圆形柱模板(木支撑) 支模高度10.5m内
2、综合考虑按图纸和规范要求而实施、完成这项工程的一切有关费用</t>
  </si>
  <si>
    <t>142.48</t>
  </si>
  <si>
    <t>109126.14</t>
  </si>
  <si>
    <t>59</t>
  </si>
  <si>
    <t>010505005002</t>
  </si>
  <si>
    <t>1、墙模板 直形墙模板 墙厚(cm以内) 40 支模高度3.6m
2、综合考虑按图纸和规范要求而实施、完成这项工程的一切有关费用</t>
  </si>
  <si>
    <t>1929.030</t>
  </si>
  <si>
    <t>43.41</t>
  </si>
  <si>
    <t>83739.19</t>
  </si>
  <si>
    <t>60</t>
  </si>
  <si>
    <t>010505006001</t>
  </si>
  <si>
    <t>梁模板</t>
  </si>
  <si>
    <t>1、梁模板 单梁、连续梁模板(梁宽cm) 25以外 支模高度4.6m
2、综合考虑按图纸和规范要求而实施、完成这项工程的一切有关费用</t>
  </si>
  <si>
    <t>1096.350</t>
  </si>
  <si>
    <t>78.28</t>
  </si>
  <si>
    <t>85822.28</t>
  </si>
  <si>
    <t>61</t>
  </si>
  <si>
    <t>010505006002</t>
  </si>
  <si>
    <t>1、梁模板 单梁、连续梁模板(梁宽cm) 25以内 支模高度5.6m
2、综合考虑按图纸和规范要求而实施、完成这项工程的一切有关费用</t>
  </si>
  <si>
    <t>148.680</t>
  </si>
  <si>
    <t>79.75</t>
  </si>
  <si>
    <t>11857.23</t>
  </si>
  <si>
    <t>62</t>
  </si>
  <si>
    <t>010505006003</t>
  </si>
  <si>
    <t>1、梁模板 单梁、连续梁模板(梁宽cm) 25以外 支模高度5.6m
2、综合考虑按图纸和规范要求而实施、完成这项工程的一切有关费用</t>
  </si>
  <si>
    <t>4251.860</t>
  </si>
  <si>
    <t>86.08</t>
  </si>
  <si>
    <t>366000.11</t>
  </si>
  <si>
    <t>63</t>
  </si>
  <si>
    <t>010505006004</t>
  </si>
  <si>
    <t>1、梁模板 单梁、连续梁(梁宽cm) 25以内 支模高度10.6m
2、综合考虑按图纸和规范要求而实施、完成这项工程的一切有关费用</t>
  </si>
  <si>
    <t>69.250</t>
  </si>
  <si>
    <t>160.58</t>
  </si>
  <si>
    <t>11120.17</t>
  </si>
  <si>
    <t>64</t>
  </si>
  <si>
    <t>010505006005</t>
  </si>
  <si>
    <t>1、梁模板 单梁、连续梁(梁宽cm) 25以外 支模高度10.2m
2、综合考虑按图纸和规范要求而实施、完成这项工程的一切有关费用</t>
  </si>
  <si>
    <t>56558.600</t>
  </si>
  <si>
    <t>163.36</t>
  </si>
  <si>
    <t>9239412.90</t>
  </si>
  <si>
    <t>65</t>
  </si>
  <si>
    <t>010505007002</t>
  </si>
  <si>
    <t>240.770</t>
  </si>
  <si>
    <t>14455.83</t>
  </si>
  <si>
    <t>66</t>
  </si>
  <si>
    <t>010505007003</t>
  </si>
  <si>
    <t>1、板模板 有梁板模板 支模高度4.6m
2、综合考虑按图纸和规范要求而实施、完成这项工程的一切有关费用</t>
  </si>
  <si>
    <t>1401.100</t>
  </si>
  <si>
    <t>68.62</t>
  </si>
  <si>
    <t>96143.48</t>
  </si>
  <si>
    <t>67</t>
  </si>
  <si>
    <t>010505007004</t>
  </si>
  <si>
    <t>1、板模板 有梁板模板 支模高度5.6m
2、综合考虑按图纸和规范要求而实施、完成这项工程的一切有关费用</t>
  </si>
  <si>
    <t>1077.640</t>
  </si>
  <si>
    <t>77.21</t>
  </si>
  <si>
    <t>83204.58</t>
  </si>
  <si>
    <t>68</t>
  </si>
  <si>
    <t>010505007005</t>
  </si>
  <si>
    <t>1、板模板 有梁板模板 支模高度7.9m
2、综合考虑按图纸和规范要求而实施、完成这项工程的一切有关费用</t>
  </si>
  <si>
    <t>11653.170</t>
  </si>
  <si>
    <t>102.96</t>
  </si>
  <si>
    <t>1199810.38</t>
  </si>
  <si>
    <t>69</t>
  </si>
  <si>
    <t>010505007006</t>
  </si>
  <si>
    <t>1、板模板 有梁板模板 支模高度10.6m
2、综合考虑按图纸和规范要求而实施、完成这项工程的一切有关费用</t>
  </si>
  <si>
    <t>19013.300</t>
  </si>
  <si>
    <t>153.57</t>
  </si>
  <si>
    <t>2919872.48</t>
  </si>
  <si>
    <t>70</t>
  </si>
  <si>
    <t>010505007007</t>
  </si>
  <si>
    <t>坡道板模板</t>
  </si>
  <si>
    <t>1、板模板 有梁板模板 支模高度7.79m以内
2、综合考虑按图纸和规范要求而实施、完成这项工程的一切有关费用</t>
  </si>
  <si>
    <t>1252.850</t>
  </si>
  <si>
    <t>115.37</t>
  </si>
  <si>
    <t>144541.30</t>
  </si>
  <si>
    <t>71</t>
  </si>
  <si>
    <t>010505007008</t>
  </si>
  <si>
    <t>1、板模板 有梁板模板 支模高度5.6m以内
2、综合考虑按图纸和规范要求而实施、完成这项工程的一切有关费用</t>
  </si>
  <si>
    <t>2130.130</t>
  </si>
  <si>
    <t>164467.34</t>
  </si>
  <si>
    <t>72</t>
  </si>
  <si>
    <t>010505007009</t>
  </si>
  <si>
    <t>1、板模板 有梁板模板 支模高度3.6m以内
2、综合考虑按图纸和规范要求而实施、完成这项工程的一切有关费用</t>
  </si>
  <si>
    <t>454.150</t>
  </si>
  <si>
    <t>27267.17</t>
  </si>
  <si>
    <t>73</t>
  </si>
  <si>
    <t>010505008002</t>
  </si>
  <si>
    <t>74</t>
  </si>
  <si>
    <t>010505010001</t>
  </si>
  <si>
    <t>楼梯模板</t>
  </si>
  <si>
    <t>1、楼梯模板 直形
2、综合考虑按图纸和规范要求而实施、完成这项工程的一切有关费用</t>
  </si>
  <si>
    <t>1087.730</t>
  </si>
  <si>
    <t>169.82</t>
  </si>
  <si>
    <t>184718.31</t>
  </si>
  <si>
    <t>75</t>
  </si>
  <si>
    <t>010505011001</t>
  </si>
  <si>
    <t>构造柱模板</t>
  </si>
  <si>
    <t>1、柱模板 矩形柱模板(周长m) 支模高度4.6m 1.2内
2、综合考虑按图纸和规范要求而实施、完成这项工程的一切有关费用</t>
  </si>
  <si>
    <t>320.980</t>
  </si>
  <si>
    <t>70.85</t>
  </si>
  <si>
    <t>22741.43</t>
  </si>
  <si>
    <t>76</t>
  </si>
  <si>
    <t>010505011002</t>
  </si>
  <si>
    <t>1、柱模板 矩形柱模板(周长m) 支模高度5.6m 1.2内
2、综合考虑按图纸和规范要求而实施、完成这项工程的一切有关费用</t>
  </si>
  <si>
    <t>75.10</t>
  </si>
  <si>
    <t>24105.60</t>
  </si>
  <si>
    <t>77</t>
  </si>
  <si>
    <t>010505011003</t>
  </si>
  <si>
    <t>1、柱模板 矩形柱模板(周长m) 支模高度8.6m 1.2内
2、综合考虑按图纸和规范要求而实施、完成这项工程的一切有关费用</t>
  </si>
  <si>
    <t>109.83</t>
  </si>
  <si>
    <t>35253.23</t>
  </si>
  <si>
    <t>78</t>
  </si>
  <si>
    <t>010505011004</t>
  </si>
  <si>
    <t>1、柱模板 矩形柱模板(周长m) 支模高度10.6m 1.2内
2、综合考虑按图纸和规范要求而实施、完成这项工程的一切有关费用</t>
  </si>
  <si>
    <t>79</t>
  </si>
  <si>
    <t>010505012001</t>
  </si>
  <si>
    <t>圈梁、过梁模板</t>
  </si>
  <si>
    <t>1、梁模板 圈梁模板
2、综合考虑按图纸和规范要求而实施、完成这项工程的一切有关费用</t>
  </si>
  <si>
    <t>545.210</t>
  </si>
  <si>
    <t>49.73</t>
  </si>
  <si>
    <t>27113.29</t>
  </si>
  <si>
    <t>80</t>
  </si>
  <si>
    <t>010505012002</t>
  </si>
  <si>
    <t>雨蓬模板</t>
  </si>
  <si>
    <t>1、阳台、雨蓬模板 直形
2、综合考虑按图纸和规范要求而实施、完成这项工程的一切有关费用</t>
  </si>
  <si>
    <t>9.000</t>
  </si>
  <si>
    <t>71.30</t>
  </si>
  <si>
    <t>641.70</t>
  </si>
  <si>
    <t>81</t>
  </si>
  <si>
    <t>010505006006</t>
  </si>
  <si>
    <t>后浇带-梁模板</t>
  </si>
  <si>
    <t>1、后浇带-梁模板
2、综合考虑按图纸和规范要求而实施、完成这项工程的一切有关费用</t>
  </si>
  <si>
    <t>494.370</t>
  </si>
  <si>
    <t>64.16</t>
  </si>
  <si>
    <t>31718.78</t>
  </si>
  <si>
    <t>82</t>
  </si>
  <si>
    <t>010505007010</t>
  </si>
  <si>
    <t>后浇带-板模板</t>
  </si>
  <si>
    <t>1、后浇带-板模板
2、综合考虑按图纸和规范要求而实施、完成这项工程的一切有关费用</t>
  </si>
  <si>
    <t>575.270</t>
  </si>
  <si>
    <t>34539.21</t>
  </si>
  <si>
    <t>3114933.96</t>
  </si>
  <si>
    <t>83</t>
  </si>
  <si>
    <t>010506001001</t>
  </si>
  <si>
    <t>现浇构件钢筋</t>
  </si>
  <si>
    <t>1、钢筋种类、规格:Ⅲ级螺纹钢 Φ10以内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</si>
  <si>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t</t>
  </si>
  <si>
    <t>22.220</t>
  </si>
  <si>
    <t>3936.12</t>
  </si>
  <si>
    <t>87460.59</t>
  </si>
  <si>
    <t>84</t>
  </si>
  <si>
    <t>010506001002</t>
  </si>
  <si>
    <t>1、钢筋种类、规格:Ⅲ级螺纹钢 Φ12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</si>
  <si>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46.952</t>
  </si>
  <si>
    <t>3584.94</t>
  </si>
  <si>
    <t>168320.10</t>
  </si>
  <si>
    <t>85</t>
  </si>
  <si>
    <t>010506001003</t>
  </si>
  <si>
    <t>1、钢筋种类、规格:Ⅲ级螺纹钢 Φ14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</si>
  <si>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8.637</t>
  </si>
  <si>
    <t>3549.18</t>
  </si>
  <si>
    <t>30654.27</t>
  </si>
  <si>
    <t>86</t>
  </si>
  <si>
    <t>010506001004</t>
  </si>
  <si>
    <t>1、钢筋种类、规格:Ⅲ级螺纹钢 Φ16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</si>
  <si>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16.437</t>
  </si>
  <si>
    <t>3500.24</t>
  </si>
  <si>
    <t>57533.44</t>
  </si>
  <si>
    <t>87</t>
  </si>
  <si>
    <t>010506001005</t>
  </si>
  <si>
    <t>1、钢筋种类、规格:Ⅲ级螺纹钢 Φ18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</si>
  <si>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10.060</t>
  </si>
  <si>
    <t>3443.76</t>
  </si>
  <si>
    <t>34644.23</t>
  </si>
  <si>
    <t>88</t>
  </si>
  <si>
    <t>010506001006</t>
  </si>
  <si>
    <t>1、钢筋种类、规格:Ⅲ级螺纹钢 Φ20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</si>
  <si>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10.193</t>
  </si>
  <si>
    <t>3510.59</t>
  </si>
  <si>
    <t>35783.44</t>
  </si>
  <si>
    <t>89</t>
  </si>
  <si>
    <t>010506001007</t>
  </si>
  <si>
    <t>1、钢筋种类、规格:Ⅲ级螺纹钢 Φ22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</si>
  <si>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34.547</t>
  </si>
  <si>
    <t>121280.35</t>
  </si>
  <si>
    <t>90</t>
  </si>
  <si>
    <t>010506001008</t>
  </si>
  <si>
    <t>1、钢筋种类、规格:Ⅲ级螺纹钢 Φ25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</si>
  <si>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171.003</t>
  </si>
  <si>
    <t>3527.53</t>
  </si>
  <si>
    <t>603218.21</t>
  </si>
  <si>
    <t>91</t>
  </si>
  <si>
    <t>010506001009</t>
  </si>
  <si>
    <t>1、钢筋种类、规格:Ⅲ级螺纹钢 Φ28~32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</si>
  <si>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91.171</t>
  </si>
  <si>
    <t>3523.26</t>
  </si>
  <si>
    <t>321219.14</t>
  </si>
  <si>
    <t>92</t>
  </si>
  <si>
    <t>010506001010</t>
  </si>
  <si>
    <t>现浇构件钢筋（带E）</t>
  </si>
  <si>
    <t>1、钢筋种类、规格:Ⅲ级螺纹钢 Φ20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</si>
  <si>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5.904</t>
  </si>
  <si>
    <t>3551.06</t>
  </si>
  <si>
    <t>20965.46</t>
  </si>
  <si>
    <t>93</t>
  </si>
  <si>
    <t>010506001011</t>
  </si>
  <si>
    <t>1、钢筋种类、规格:Ⅲ级螺纹钢 Φ22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</si>
  <si>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6.358</t>
  </si>
  <si>
    <t>22577.64</t>
  </si>
  <si>
    <t>94</t>
  </si>
  <si>
    <t>010506001012</t>
  </si>
  <si>
    <t>1、钢筋种类、规格:Ⅲ级螺纹钢 Φ25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</si>
  <si>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51.153</t>
  </si>
  <si>
    <t>3568.00</t>
  </si>
  <si>
    <t>182513.90</t>
  </si>
  <si>
    <t>95</t>
  </si>
  <si>
    <t>010506001013</t>
  </si>
  <si>
    <t>1、钢筋种类、规格:Ⅲ级螺纹钢 Φ28-32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</si>
  <si>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91.940</t>
  </si>
  <si>
    <t>3563.73</t>
  </si>
  <si>
    <t>327649.34</t>
  </si>
  <si>
    <t>96</t>
  </si>
  <si>
    <t>010506001014</t>
  </si>
  <si>
    <t>1、钢筋种类、规格:Ⅲ级螺纹钢 Φ40以内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</si>
  <si>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62.310</t>
  </si>
  <si>
    <t>3690.79</t>
  </si>
  <si>
    <t>229973.12</t>
  </si>
  <si>
    <t>97</t>
  </si>
  <si>
    <t>010506001015</t>
  </si>
  <si>
    <t>现浇构件钢筋（箍筋）</t>
  </si>
  <si>
    <t>1、钢筋种类、规格:Ⅰ级圆钢 Φ10以内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</si>
  <si>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5.695</t>
  </si>
  <si>
    <t>4820.62</t>
  </si>
  <si>
    <t>27453.43</t>
  </si>
  <si>
    <t>98</t>
  </si>
  <si>
    <t>010506001016</t>
  </si>
  <si>
    <t>65.649</t>
  </si>
  <si>
    <t>5164.39</t>
  </si>
  <si>
    <t>339037.04</t>
  </si>
  <si>
    <t>99</t>
  </si>
  <si>
    <t>010506001017</t>
  </si>
  <si>
    <t>83.565</t>
  </si>
  <si>
    <t>4014.49</t>
  </si>
  <si>
    <t>335470.86</t>
  </si>
  <si>
    <t>100</t>
  </si>
  <si>
    <t>010506001018</t>
  </si>
  <si>
    <t>1、钢筋种类、规格:Ⅲ级螺纹钢 Φ16-25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</si>
  <si>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31.889</t>
  </si>
  <si>
    <t>3927.90</t>
  </si>
  <si>
    <t>125256.80</t>
  </si>
  <si>
    <t>101</t>
  </si>
  <si>
    <t>010506001019</t>
  </si>
  <si>
    <t>机械连接</t>
  </si>
  <si>
    <t>1、连接方式:套筒连接
2、规格:Φ18
3、综合考虑按图纸和规范要求而实施、完成这项工程的一切有关费用</t>
  </si>
  <si>
    <t>个</t>
  </si>
  <si>
    <t>236.000</t>
  </si>
  <si>
    <t>10.09</t>
  </si>
  <si>
    <t>2381.24</t>
  </si>
  <si>
    <t>102</t>
  </si>
  <si>
    <t>010506001020</t>
  </si>
  <si>
    <t>1、连接方式:套筒连接
2、规格:Φ20
3、综合考虑按图纸和规范要求而实施、完成这项工程的一切有关费用</t>
  </si>
  <si>
    <t>211.000</t>
  </si>
  <si>
    <t>12.11</t>
  </si>
  <si>
    <t>2555.21</t>
  </si>
  <si>
    <t>103</t>
  </si>
  <si>
    <t>010506001021</t>
  </si>
  <si>
    <t>1、连接方式:套筒连接
2、规格:Φ22
3、综合考虑按图纸和规范要求而实施、完成这项工程的一切有关费用</t>
  </si>
  <si>
    <t>177.000</t>
  </si>
  <si>
    <t>12.45</t>
  </si>
  <si>
    <t>2203.65</t>
  </si>
  <si>
    <t>104</t>
  </si>
  <si>
    <t>010506001022</t>
  </si>
  <si>
    <t>1、连接方式:套筒连接
2、规格:Φ25
3、综合考虑按图纸和规范要求而实施、完成这项工程的一切有关费用</t>
  </si>
  <si>
    <t>2083.000</t>
  </si>
  <si>
    <t>13.02</t>
  </si>
  <si>
    <t>27120.66</t>
  </si>
  <si>
    <t>105</t>
  </si>
  <si>
    <t>010506001023</t>
  </si>
  <si>
    <t>1、连接方式:套筒连接
2、规格:Φ28
3、综合考虑按图纸和规范要求而实施、完成这项工程的一切有关费用</t>
  </si>
  <si>
    <t>313.000</t>
  </si>
  <si>
    <t>15.40</t>
  </si>
  <si>
    <t>4820.20</t>
  </si>
  <si>
    <t>106</t>
  </si>
  <si>
    <t>010506001024</t>
  </si>
  <si>
    <t>1、连接方式:套筒连接
2、规格:Φ32
3、综合考虑按图纸和规范要求而实施、完成这项工程的一切有关费用</t>
  </si>
  <si>
    <t>162.000</t>
  </si>
  <si>
    <t>16.08</t>
  </si>
  <si>
    <t>2604.96</t>
  </si>
  <si>
    <t>107</t>
  </si>
  <si>
    <t>010506001025</t>
  </si>
  <si>
    <t>1、连接方式:套筒连接
2、规格:Φ40
3、综合考虑按图纸和规范要求而实施、完成这项工程的一切有关费用</t>
  </si>
  <si>
    <t>109.000</t>
  </si>
  <si>
    <t>20.52</t>
  </si>
  <si>
    <t>2236.68</t>
  </si>
  <si>
    <t>19980489.85</t>
  </si>
  <si>
    <t>108</t>
  </si>
  <si>
    <t>010506001026</t>
  </si>
  <si>
    <t>1、钢筋种类、规格:Ⅲ级螺纹钢 Φ10以内
2、钢筋类型:非抗震钢筋（综合单价不含措施筋，其工程量并入清单量计算）
3、超高降效费综合考虑
4、综合考虑按图纸和规范要求而实施、完成这项工程的一切有关费用</t>
  </si>
  <si>
    <t>466.278</t>
  </si>
  <si>
    <t>3946.79</t>
  </si>
  <si>
    <t>1840301.35</t>
  </si>
  <si>
    <t>109</t>
  </si>
  <si>
    <t>010506001027</t>
  </si>
  <si>
    <t>1、钢筋种类、规格:Ⅲ级螺纹钢 Φ12
2、钢筋类型:非抗震钢筋（综合单价不含措施筋，其工程量并入清单量计算）
3、超高降效费综合考虑
4、综合考虑按图纸和规范要求而实施、完成这项工程的一切有关费用</t>
  </si>
  <si>
    <t>264.363</t>
  </si>
  <si>
    <t>3592.35</t>
  </si>
  <si>
    <t>949684.42</t>
  </si>
  <si>
    <t>110</t>
  </si>
  <si>
    <t>010506001028</t>
  </si>
  <si>
    <t>1、钢筋种类、规格:Ⅲ级螺纹钢 Φ14
2、钢筋类型:非抗震钢筋（综合单价不含措施筋，其工程量并入清单量计算）
3、超高降效费综合考虑
4、综合考虑按图纸和规范要求而实施、完成这项工程的一切有关费用</t>
  </si>
  <si>
    <t>99.479</t>
  </si>
  <si>
    <t>3556.59</t>
  </si>
  <si>
    <t>353806.02</t>
  </si>
  <si>
    <t>111</t>
  </si>
  <si>
    <t>010506001029</t>
  </si>
  <si>
    <t>1、钢筋种类、规格:Ⅲ级螺纹钢 Φ16
2、钢筋类型:非抗震钢筋（综合单价不含措施筋，其工程量并入清单量计算）
3、超高降效费综合考虑
4、综合考虑按图纸和规范要求而实施、完成这项工程的一切有关费用</t>
  </si>
  <si>
    <t>11.676</t>
  </si>
  <si>
    <t>3507.66</t>
  </si>
  <si>
    <t>40955.44</t>
  </si>
  <si>
    <t>112</t>
  </si>
  <si>
    <t>010506001030</t>
  </si>
  <si>
    <t>1、钢筋种类、规格:Ⅲ级螺纹钢 Φ18
2、钢筋类型:非抗震钢筋（综合单价不含措施筋，其工程量并入清单量计算）
3、超高降效费综合考虑
4、综合考虑按图纸和规范要求而实施、完成这项工程的一切有关费用</t>
  </si>
  <si>
    <t>6.558</t>
  </si>
  <si>
    <t>3563.24</t>
  </si>
  <si>
    <t>23367.73</t>
  </si>
  <si>
    <t>113</t>
  </si>
  <si>
    <t>010506001031</t>
  </si>
  <si>
    <t>1、钢筋种类、规格:Ⅲ级螺纹钢 Φ20
2、钢筋类型:非抗震钢筋（综合单价不含措施筋，其工程量并入清单量计算）
3、超高降效费综合考虑
4、综合考虑按图纸和规范要求而实施、完成这项工程的一切有关费用</t>
  </si>
  <si>
    <t>4.485</t>
  </si>
  <si>
    <t>3630.08</t>
  </si>
  <si>
    <t>16280.91</t>
  </si>
  <si>
    <t>114</t>
  </si>
  <si>
    <t>010506001032</t>
  </si>
  <si>
    <t>1、钢筋种类、规格:Ⅲ级螺纹钢 Φ22
2、钢筋类型:非抗震钢筋（综合单价不含措施筋，其工程量并入清单量计算）
3、超高降效费综合考虑
4、综合考虑按图纸和规范要求而实施、完成这项工程的一切有关费用</t>
  </si>
  <si>
    <t>3.922</t>
  </si>
  <si>
    <t>3630.07</t>
  </si>
  <si>
    <t>14237.13</t>
  </si>
  <si>
    <t>115</t>
  </si>
  <si>
    <t>010506001033</t>
  </si>
  <si>
    <t>1、钢筋种类、规格:Ⅲ级螺纹钢 Φ25
2、钢筋类型:非抗震钢筋（综合单价不含措施筋，其工程量并入清单量计算）
3、超高降效费综合考虑
4、综合考虑按图纸和规范要求而实施、完成这项工程的一切有关费用</t>
  </si>
  <si>
    <t>4.997</t>
  </si>
  <si>
    <t>3534.94</t>
  </si>
  <si>
    <t>17664.10</t>
  </si>
  <si>
    <t>116</t>
  </si>
  <si>
    <t>010506001034</t>
  </si>
  <si>
    <t>1、钢筋种类、规格:Ⅲ级螺纹钢 Φ10
2、钢筋类型:抗震钢筋
3、超高降效费综合考虑
4、综合考虑按图纸和规范要求而实施、完成这项工程的一切有关费用</t>
  </si>
  <si>
    <t>14.963</t>
  </si>
  <si>
    <t>3687.54</t>
  </si>
  <si>
    <t>55176.66</t>
  </si>
  <si>
    <t>117</t>
  </si>
  <si>
    <t>010506001035</t>
  </si>
  <si>
    <t>1、钢筋种类、规格:Ⅲ级螺纹钢 Φ12
2、钢筋类型:抗震钢筋
3、超高降效费综合考虑
4、综合考虑按图纸和规范要求而实施、完成这项工程的一切有关费用</t>
  </si>
  <si>
    <t>14.873</t>
  </si>
  <si>
    <t>3632.82</t>
  </si>
  <si>
    <t>54030.93</t>
  </si>
  <si>
    <t>118</t>
  </si>
  <si>
    <t>010506001036</t>
  </si>
  <si>
    <t>1、钢筋种类、规格:Ⅲ级螺纹钢 Φ14
2、钢筋类型:抗震钢筋
3、超高降效费综合考虑
4、综合考虑按图纸和规范要求而实施、完成这项工程的一切有关费用</t>
  </si>
  <si>
    <t>21.647</t>
  </si>
  <si>
    <t>3589.65</t>
  </si>
  <si>
    <t>77705.15</t>
  </si>
  <si>
    <t>119</t>
  </si>
  <si>
    <t>010506001037</t>
  </si>
  <si>
    <t>1、钢筋种类、规格:Ⅲ级螺纹钢 Φ16
2、钢筋类型:抗震钢筋
3、超高降效费综合考虑
4、综合考虑按图纸和规范要求而实施、完成这项工程的一切有关费用</t>
  </si>
  <si>
    <t>15.213</t>
  </si>
  <si>
    <t>3540.70</t>
  </si>
  <si>
    <t>53864.67</t>
  </si>
  <si>
    <t>120</t>
  </si>
  <si>
    <t>010506001038</t>
  </si>
  <si>
    <t>1、钢筋种类、规格:Ⅲ级螺纹钢 Φ18
2、钢筋类型:抗震钢筋
3、超高降效费综合考虑
4、综合考虑按图纸和规范要求而实施、完成这项工程的一切有关费用</t>
  </si>
  <si>
    <t>12.322</t>
  </si>
  <si>
    <t>3603.72</t>
  </si>
  <si>
    <t>44405.04</t>
  </si>
  <si>
    <t>121</t>
  </si>
  <si>
    <t>010506001039</t>
  </si>
  <si>
    <t>1、钢筋种类、规格:Ⅲ级螺纹钢 Φ20
2、钢筋类型:抗震钢筋
3、超高降效费综合考虑
4、综合考虑按图纸和规范要求而实施、完成这项工程的一切有关费用</t>
  </si>
  <si>
    <t>20.215</t>
  </si>
  <si>
    <t>3670.53</t>
  </si>
  <si>
    <t>74199.76</t>
  </si>
  <si>
    <t>122</t>
  </si>
  <si>
    <t>010506001040</t>
  </si>
  <si>
    <t>1、钢筋种类、规格:Ⅲ级螺纹钢 Φ22
2、钢筋类型:抗震钢筋
3、超高降效费综合考虑
4、综合考虑按图纸和规范要求而实施、完成这项工程的一切有关费用</t>
  </si>
  <si>
    <t>55.506</t>
  </si>
  <si>
    <t>203736.44</t>
  </si>
  <si>
    <t>123</t>
  </si>
  <si>
    <t>010506001041</t>
  </si>
  <si>
    <t>1、钢筋种类、规格:Ⅲ级螺纹钢 Φ25
2、钢筋类型:抗震钢筋
3、超高降效费综合考虑
4、综合考虑按图纸和规范要求而实施、完成这项工程的一切有关费用</t>
  </si>
  <si>
    <t>348.151</t>
  </si>
  <si>
    <t>3575.41</t>
  </si>
  <si>
    <t>1244782.57</t>
  </si>
  <si>
    <t>124</t>
  </si>
  <si>
    <t>010506001042</t>
  </si>
  <si>
    <t>1、钢筋种类、规格:Ⅲ级螺纹钢 Φ28-32
2、钢筋类型:抗震钢筋
3、超高降效费综合考虑
4、综合考虑按图纸和规范要求而实施、完成这项工程的一切有关费用</t>
  </si>
  <si>
    <t>258.970</t>
  </si>
  <si>
    <t>3570.31</t>
  </si>
  <si>
    <t>924603.18</t>
  </si>
  <si>
    <t>125</t>
  </si>
  <si>
    <t>010506001043</t>
  </si>
  <si>
    <t>1、钢筋种类、规格:Ⅲ级螺纹钢 Φ40以内
2、钢筋类型:抗震钢筋
3、超高降效费综合考虑
4、综合考虑按图纸和规范要求而实施、完成这项工程的一切有关费用</t>
  </si>
  <si>
    <t>234.230</t>
  </si>
  <si>
    <t>864493.74</t>
  </si>
  <si>
    <t>126</t>
  </si>
  <si>
    <t>010506001044</t>
  </si>
  <si>
    <t>1、钢筋种类、规格:Ⅲ级螺纹钢 Φ50以内
2、钢筋类型:抗震钢筋
3、超高降效费综合考虑
4、综合考虑按图纸和规范要求而实施、完成这项工程的一切有关费用</t>
  </si>
  <si>
    <t>1.816</t>
  </si>
  <si>
    <t>3697.37</t>
  </si>
  <si>
    <t>6714.42</t>
  </si>
  <si>
    <t>127</t>
  </si>
  <si>
    <t>010506001045</t>
  </si>
  <si>
    <t>1、钢筋种类、规格:Ⅳ级螺纹钢 Ф10
2、钢筋类型:抗震钢筋
3、超高降效费综合考虑
4、综合考虑按图纸和规范要求而实施、完成这项工程的一切有关费用</t>
  </si>
  <si>
    <t>2.142</t>
  </si>
  <si>
    <t>4386.38</t>
  </si>
  <si>
    <t>9395.63</t>
  </si>
  <si>
    <t>128</t>
  </si>
  <si>
    <t>010506001046</t>
  </si>
  <si>
    <t>1、钢筋种类、规格:Ⅳ级螺纹钢 Ф12-14
2、钢筋类型:抗震钢筋
3、超高降效费综合考虑
4、综合考虑按图纸和规范要求而实施、完成这项工程的一切有关费用</t>
  </si>
  <si>
    <t>109.898</t>
  </si>
  <si>
    <t>4029.43</t>
  </si>
  <si>
    <t>442826.30</t>
  </si>
  <si>
    <t>129</t>
  </si>
  <si>
    <t>010506001047</t>
  </si>
  <si>
    <t>1、钢筋种类、规格:Ⅳ级螺纹钢 Ф16-25
2、钢筋类型:抗震钢筋
3、超高降效费综合考虑
4、综合考虑按图纸和规范要求而实施、完成这项工程的一切有关费用</t>
  </si>
  <si>
    <t>1167.120</t>
  </si>
  <si>
    <t>3965.43</t>
  </si>
  <si>
    <t>4628132.66</t>
  </si>
  <si>
    <t>130</t>
  </si>
  <si>
    <t>010506001048</t>
  </si>
  <si>
    <t>1、钢筋种类、规格:Ⅳ级螺纹钢 Ф28-32
2、钢筋类型:抗震钢筋
3、超高降效费综合考虑
4、综合考虑按图纸和规范要求而实施、完成这项工程的一切有关费用</t>
  </si>
  <si>
    <t>165.119</t>
  </si>
  <si>
    <t>3990.07</t>
  </si>
  <si>
    <t>658836.37</t>
  </si>
  <si>
    <t>131</t>
  </si>
  <si>
    <t>010506001049</t>
  </si>
  <si>
    <t>1、钢筋种类、规格:Ⅰ级圆钢 Φ10以内
2、钢筋类型:非抗震钢筋
3、超高降效费综合考虑
4、综合考虑按图纸和规范要求而实施、完成这项工程的一切有关费用</t>
  </si>
  <si>
    <t>61.042</t>
  </si>
  <si>
    <t>4841.01</t>
  </si>
  <si>
    <t>295504.93</t>
  </si>
  <si>
    <t>132</t>
  </si>
  <si>
    <t>010506001050</t>
  </si>
  <si>
    <t>1、钢筋种类、规格:Ⅲ级螺纹钢 Φ10以内
2、钢筋类型:非抗震钢筋
3、超高降效费综合考虑
4、综合考虑按图纸和规范要求而实施、完成这项工程的一切有关费用</t>
  </si>
  <si>
    <t>606.812</t>
  </si>
  <si>
    <t>5187.83</t>
  </si>
  <si>
    <t>3148037.50</t>
  </si>
  <si>
    <t>133</t>
  </si>
  <si>
    <t>010506001051</t>
  </si>
  <si>
    <t>1、钢筋种类、规格:Ⅲ级螺纹钢 Ф12-14
2、钢筋类型:非抗震钢筋
3、超高降效费综合考虑
4、综合考虑按图纸和规范要求而实施、完成这项工程的一切有关费用</t>
  </si>
  <si>
    <t>452.169</t>
  </si>
  <si>
    <t>4008.47</t>
  </si>
  <si>
    <t>1812505.87</t>
  </si>
  <si>
    <t>134</t>
  </si>
  <si>
    <t>010506001052</t>
  </si>
  <si>
    <t>1、钢筋种类、规格:Ⅲ级螺纹钢 Φ16-25
2、钢筋类型:非抗震钢筋
3、超高降效费综合考虑
4、综合考虑按图纸和规范要求而实施、完成这项工程的一切有关费用</t>
  </si>
  <si>
    <t>114.312</t>
  </si>
  <si>
    <t>3939.77</t>
  </si>
  <si>
    <t>450362.99</t>
  </si>
  <si>
    <t>135</t>
  </si>
  <si>
    <t>010506001053</t>
  </si>
  <si>
    <t>预应力钢绞线(缓粘结)</t>
  </si>
  <si>
    <t>1、钢筋种类、规格：后张法预应力钢绞线 缓粘结
2、预应力位置：框架梁及次梁
3、超高降效费综合考虑
4、综合考虑按图纸和规范要求而实施、完成这项工程的一切有关费用</t>
  </si>
  <si>
    <t>108.612</t>
  </si>
  <si>
    <t>7634.87</t>
  </si>
  <si>
    <t>829238.50</t>
  </si>
  <si>
    <t>136</t>
  </si>
  <si>
    <t>010506001054</t>
  </si>
  <si>
    <t>锚具安装</t>
  </si>
  <si>
    <t>1、锚具安装 群锚
2、超高降效费综合考虑
3、综合考虑按图纸和规范要求而实施、完成这项工程的一切有关费用</t>
  </si>
  <si>
    <t>套</t>
  </si>
  <si>
    <t>522.000</t>
  </si>
  <si>
    <t>262.23</t>
  </si>
  <si>
    <t>136884.06</t>
  </si>
  <si>
    <t>137</t>
  </si>
  <si>
    <t>010506001055</t>
  </si>
  <si>
    <t>1、连接方式:套筒连接
2、规格:Φ18
3、超高降效费综合考虑
4、综合考虑按图纸和规范要求而实施、完成这项工程的一切有关费用</t>
  </si>
  <si>
    <t>1289.000</t>
  </si>
  <si>
    <t>10.19</t>
  </si>
  <si>
    <t>13134.91</t>
  </si>
  <si>
    <t>138</t>
  </si>
  <si>
    <t>010506001056</t>
  </si>
  <si>
    <t>1、连接方式:套筒连接
2、规格:Φ20
3、超高降效费综合考虑
4、综合考虑按图纸和规范要求而实施、完成这项工程的一切有关费用</t>
  </si>
  <si>
    <t>1448.000</t>
  </si>
  <si>
    <t>12.23</t>
  </si>
  <si>
    <t>17709.04</t>
  </si>
  <si>
    <t>139</t>
  </si>
  <si>
    <t>010506001057</t>
  </si>
  <si>
    <t>1、连接方式:套筒连接
2、规格:Φ22
3、超高降效费综合考虑
4、综合考虑按图纸和规范要求而实施、完成这项工程的一切有关费用</t>
  </si>
  <si>
    <t>3426.000</t>
  </si>
  <si>
    <t>12.57</t>
  </si>
  <si>
    <t>43064.82</t>
  </si>
  <si>
    <t>140</t>
  </si>
  <si>
    <t>010506001058</t>
  </si>
  <si>
    <t>1、连接方式:套筒连接
2、规格:Φ25
3、超高降效费综合考虑
4、综合考虑按图纸和规范要求而实施、完成这项工程的一切有关费用</t>
  </si>
  <si>
    <t>31223.000</t>
  </si>
  <si>
    <t>13.14</t>
  </si>
  <si>
    <t>410270.22</t>
  </si>
  <si>
    <t>141</t>
  </si>
  <si>
    <t>010506001059</t>
  </si>
  <si>
    <t>1、连接方式:套筒连接
2、规格:Φ28
3、超高降效费综合考虑
4、综合考虑按图纸和规范要求而实施、完成这项工程的一切有关费用</t>
  </si>
  <si>
    <t>7154.000</t>
  </si>
  <si>
    <t>15.54</t>
  </si>
  <si>
    <t>111173.16</t>
  </si>
  <si>
    <t>142</t>
  </si>
  <si>
    <t>010506001060</t>
  </si>
  <si>
    <t>1、连接方式:套筒连接
2、规格:Φ32
3、超高降效费综合考虑
4、综合考虑按图纸和规范要求而实施、完成这项工程的一切有关费用</t>
  </si>
  <si>
    <t>2729.000</t>
  </si>
  <si>
    <t>16.22</t>
  </si>
  <si>
    <t>44264.38</t>
  </si>
  <si>
    <t>143</t>
  </si>
  <si>
    <t>010506001061</t>
  </si>
  <si>
    <t>1、连接方式:套筒连接
2、规格:Φ36
3、超高降效费综合考虑
4、综合考虑按图纸和规范要求而实施、完成这项工程的一切有关费用</t>
  </si>
  <si>
    <t>2080.000</t>
  </si>
  <si>
    <t>20.21</t>
  </si>
  <si>
    <t>42036.80</t>
  </si>
  <si>
    <t>144</t>
  </si>
  <si>
    <t>010506001062</t>
  </si>
  <si>
    <t>1、连接方式:套筒连接
2、规格:Φ40
3、超高降效费综合考虑
4、综合考虑按图纸和规范要求而实施、完成这项工程的一切有关费用</t>
  </si>
  <si>
    <t>1303.000</t>
  </si>
  <si>
    <t>20.67</t>
  </si>
  <si>
    <t>26933.01</t>
  </si>
  <si>
    <t>145</t>
  </si>
  <si>
    <t>010506001063</t>
  </si>
  <si>
    <t>1、连接方式:套筒连接
2、规格:Φ50
3、超高降效费综合考虑
4、综合考虑按图纸和规范要求而实施、完成这项工程的一切有关费用</t>
  </si>
  <si>
    <t>8.000</t>
  </si>
  <si>
    <t>21.13</t>
  </si>
  <si>
    <t>169.04</t>
  </si>
  <si>
    <t>屋面及雨棚部分等</t>
  </si>
  <si>
    <t>7036164.13</t>
  </si>
  <si>
    <t>146</t>
  </si>
  <si>
    <t>010603001001</t>
  </si>
  <si>
    <t>钢柱</t>
  </si>
  <si>
    <t>1、钢立柱
2、钢材品种、规格：Q235B 
3、钢构件表面采用喷砂除锈,除锈质量等级为Sa2.5级
4、金属结构件场外运输 运距综合考虑
5、超高降效费综合考虑
6、综合考虑按图纸和规范要求而实施、完成这项工程的一切有关费用</t>
  </si>
  <si>
    <t>2.640</t>
  </si>
  <si>
    <t>6034.87</t>
  </si>
  <si>
    <t>15932.06</t>
  </si>
  <si>
    <t>147</t>
  </si>
  <si>
    <t>010604001001</t>
  </si>
  <si>
    <t>钢梁</t>
  </si>
  <si>
    <t>1、型钢梁
2、钢材品种、规格：Q355B型钢梁
3、钢构件表面采用喷砂除锈,除锈质量等级为Sa2.5级
4、金属结构件场外运输 运距综合考虑
5、超高降效费综合考虑
6、综合考虑按图纸和规范要求而实施、完成这项工程的一切有关费用</t>
  </si>
  <si>
    <t>178.880</t>
  </si>
  <si>
    <t>6308.40</t>
  </si>
  <si>
    <t>1128446.59</t>
  </si>
  <si>
    <t>148</t>
  </si>
  <si>
    <t>010607002001</t>
  </si>
  <si>
    <t>钢拉条</t>
  </si>
  <si>
    <t>1、钢拉条
2、钢材品种、规格：热镀锌Q235B、圆钢φ12mm、套管φ32.5*2.5、圆管φ219x5.0、圆管φ168x4.0、圆管φ114x5.0
3、钢构件表面采用喷砂除锈,除锈质量等级为Sa2.5级
4、金属结构件场外运输 运距综合考虑
5、超高降效费综合考虑
6、综合考虑按图纸和规范要求而实施、完成这项工程的一切有关费用</t>
  </si>
  <si>
    <t>258.550</t>
  </si>
  <si>
    <t>7684.23</t>
  </si>
  <si>
    <t>1986757.67</t>
  </si>
  <si>
    <t>149</t>
  </si>
  <si>
    <t>010607002002</t>
  </si>
  <si>
    <t>隅撑</t>
  </si>
  <si>
    <t>1、隅撑
2、钢材品种、规格：热镀锌Q235B 角钢L63*5.0、角钢L40*4
3、钢构件表面采用喷砂除锈,除锈质量等级为Sa2.5级
4、金属结构件场外运输 运距综合考虑
5、超高降效费综合考虑
6、综合考虑按图纸和规范要求而实施、完成这项工程的一切有关费用</t>
  </si>
  <si>
    <t>5.340</t>
  </si>
  <si>
    <t>7786.44</t>
  </si>
  <si>
    <t>41579.59</t>
  </si>
  <si>
    <t>150</t>
  </si>
  <si>
    <t>010607003001</t>
  </si>
  <si>
    <t>钢檩条</t>
  </si>
  <si>
    <t>1、钢檩条
2、钢材品种、规格：热镀锌Q355B C型钢、XZ型钢
3、钢构件表面采用喷砂除锈,除锈质量等级为Sa2.5级
4、金属结构件场外运输 运距综合考虑
5、超高降效费综合考虑
6、综合考虑按图纸和规范要求而实施、完成这项工程的一切有关费用</t>
  </si>
  <si>
    <t>101.350</t>
  </si>
  <si>
    <t>7994.29</t>
  </si>
  <si>
    <t>810221.29</t>
  </si>
  <si>
    <t>151</t>
  </si>
  <si>
    <t>011502001001</t>
  </si>
  <si>
    <t>不锈钢护角</t>
  </si>
  <si>
    <t>1、L50*50*0.6厚不锈钢护角
2、综合考虑按图纸和规范要求而实施、完成这项工程的一切有关费用</t>
  </si>
  <si>
    <t>m</t>
  </si>
  <si>
    <t>332.800</t>
  </si>
  <si>
    <t>9.08</t>
  </si>
  <si>
    <t>3021.82</t>
  </si>
  <si>
    <t>152</t>
  </si>
  <si>
    <t>010605003001</t>
  </si>
  <si>
    <t>雨棚彩钢板封边</t>
  </si>
  <si>
    <t>1、雨棚0.6厚彩钢板封边
2、综合考虑按图纸和规范要求而实施、完成这项工程的一切有关费用</t>
  </si>
  <si>
    <t>54.000</t>
  </si>
  <si>
    <t>96.38</t>
  </si>
  <si>
    <t>5204.52</t>
  </si>
  <si>
    <t>153</t>
  </si>
  <si>
    <t>010605003002</t>
  </si>
  <si>
    <t>泛水板</t>
  </si>
  <si>
    <t>1、泛水镀锌钢板0.6厚
2、综合考虑按图纸和规范要求而实施、完成这项工程的一切有关费用</t>
  </si>
  <si>
    <t>36.000</t>
  </si>
  <si>
    <t>96.61</t>
  </si>
  <si>
    <t>3477.96</t>
  </si>
  <si>
    <t>154</t>
  </si>
  <si>
    <t>010605003003</t>
  </si>
  <si>
    <t>2.4厚塑钢瓦(屋面材料)钢板泛水板</t>
  </si>
  <si>
    <t>1、2.4厚塑钢瓦(屋面材料)钢板泛水板
2、综合考虑按图纸和规范要求而实施、完成这项工程的一切有关费用</t>
  </si>
  <si>
    <t>43.000</t>
  </si>
  <si>
    <t>162.41</t>
  </si>
  <si>
    <t>6983.63</t>
  </si>
  <si>
    <t>155</t>
  </si>
  <si>
    <t>010901007001</t>
  </si>
  <si>
    <t>钢天沟</t>
  </si>
  <si>
    <t>1、材质：1.2厚不锈钢板内天沟
2、沟宽度：500mm×300mm
3、包含钢骨架、安装辅材等
4、超高降效费综合考虑
5、综合考虑按图纸和规范要求而实施、完成这项工程的一切有关费用</t>
  </si>
  <si>
    <t>295.700</t>
  </si>
  <si>
    <t>461.50</t>
  </si>
  <si>
    <t>136465.55</t>
  </si>
  <si>
    <t>156</t>
  </si>
  <si>
    <t>010901007002</t>
  </si>
  <si>
    <t>钢檐沟</t>
  </si>
  <si>
    <t>1、材质：3厚不锈钢板内天沟
2、沟宽度：500mm×500mm
3、做法参图集15J207-1
4、超高降效费综合考虑
5、综合考虑按图纸和规范要求而实施、完成这项工程的一切有关费用</t>
  </si>
  <si>
    <t>648.400</t>
  </si>
  <si>
    <t>1421.43</t>
  </si>
  <si>
    <t>921655.21</t>
  </si>
  <si>
    <t>157</t>
  </si>
  <si>
    <t>011402003001</t>
  </si>
  <si>
    <t>金属面油漆（室外）</t>
  </si>
  <si>
    <t>1、构件名称:室外钢构件（镀锌构件除外）
2、底层漆油漆品种、刷漆遍数:环氧富锌底漆二道干膜厚度不小于70 μm
3、中间漆油漆品种、刷漆遍数:环氧云铁中间漆一道
干膜厚度不小于60 μm
4、面层漆油漆品种、刷漆遍数:两道聚氨酯面漆干膜厚度不小于70μm
5、建筑物超高增加人工、机械降效率高度30m
6、综合考虑按图纸和规范要求而实施、完成这项工程的一切有关费用</t>
  </si>
  <si>
    <t>4667.960</t>
  </si>
  <si>
    <t>42.98</t>
  </si>
  <si>
    <t>200628.92</t>
  </si>
  <si>
    <t>158</t>
  </si>
  <si>
    <t>011402003002</t>
  </si>
  <si>
    <t>金属面油漆（室内）</t>
  </si>
  <si>
    <t>1、构件名称:室内钢构件（镀锌构件除外）
2、底层漆油漆品种、刷漆遍数:醇酸底漆2遍干膜厚度不小于60μm
3、面层漆油漆品种、刷漆遍数:醇酸面漆2遍干膜厚度不小于60μm
4、建筑物超高增加人工、机械降效率高度30m
5、综合考虑按图纸和规范要求而实施、完成这项工程的一切有关费用</t>
  </si>
  <si>
    <t>53.400</t>
  </si>
  <si>
    <t>16.24</t>
  </si>
  <si>
    <t>867.22</t>
  </si>
  <si>
    <t>159</t>
  </si>
  <si>
    <t>010605003004</t>
  </si>
  <si>
    <t>雨棚面板</t>
  </si>
  <si>
    <t>1、0.6厚镀铝锌压型钢板
2、超高降效费综合考虑
3、综合考虑按图纸和规范要求而实施、完成这项工程的一切有关费用</t>
  </si>
  <si>
    <t>2454.310</t>
  </si>
  <si>
    <t>74.50</t>
  </si>
  <si>
    <t>182846.10</t>
  </si>
  <si>
    <t>160</t>
  </si>
  <si>
    <t>010605003005</t>
  </si>
  <si>
    <t>雨棚底板</t>
  </si>
  <si>
    <t>1、0.4mm厚镀铝锌压型钢板
2、超高降效费综合考虑
3、综合考虑按图纸和规范要求而实施、完成这项工程的一切有关费用</t>
  </si>
  <si>
    <t>67.76</t>
  </si>
  <si>
    <t>166304.05</t>
  </si>
  <si>
    <t>161</t>
  </si>
  <si>
    <t>011402003003</t>
  </si>
  <si>
    <t>钢结构防火涂料</t>
  </si>
  <si>
    <t>1、钢结构防火涂料
2、耐火极限(小时)2，非膨胀型，防火保护层厚度(mm)≥22
3、综合考虑按图纸和规范要求而实施、完成这项工程的一切有关费用</t>
  </si>
  <si>
    <t>5146.570</t>
  </si>
  <si>
    <t>57.34</t>
  </si>
  <si>
    <t>295104.32</t>
  </si>
  <si>
    <t>162</t>
  </si>
  <si>
    <t>011402003004</t>
  </si>
  <si>
    <t>1、钢结构防火涂料
2、耐火极限(小时)3，非膨胀型，防火保护层厚度(mm)≥36
3、综合考虑按图纸和规范要求而实施、完成这项工程的一切有关费用</t>
  </si>
  <si>
    <t>12965.950</t>
  </si>
  <si>
    <t>85.64</t>
  </si>
  <si>
    <t>1110403.96</t>
  </si>
  <si>
    <t>163</t>
  </si>
  <si>
    <t>010301003001</t>
  </si>
  <si>
    <t>无收缩混凝土灌浆料</t>
  </si>
  <si>
    <t>1、混凝土种类:无收缩混凝土
2、混凝土强度等级:C40
3、综合考虑按图纸和规范要求而实施、完成这项工程的一切有关费用</t>
  </si>
  <si>
    <t>12.000</t>
  </si>
  <si>
    <t>895.17</t>
  </si>
  <si>
    <t>10742.04</t>
  </si>
  <si>
    <t>164</t>
  </si>
  <si>
    <t>011205001001</t>
  </si>
  <si>
    <t>防火岩棉</t>
  </si>
  <si>
    <t>1、防火岩棉 制安
2、综合考虑按图纸和规范要求而实施、完成这项工程的一切有关费用</t>
  </si>
  <si>
    <t>21.000</t>
  </si>
  <si>
    <t>38.01</t>
  </si>
  <si>
    <t>798.21</t>
  </si>
  <si>
    <t>165</t>
  </si>
  <si>
    <t>010506024001</t>
  </si>
  <si>
    <t>高强螺栓</t>
  </si>
  <si>
    <t>1、高强螺栓 M12
2、综合考虑按图纸和规范要求而实施、完成这项工程的一切有关费用</t>
  </si>
  <si>
    <t>6.29</t>
  </si>
  <si>
    <t>166</t>
  </si>
  <si>
    <t>010506024002</t>
  </si>
  <si>
    <t>1、高强螺栓 M14
2、综合考虑按图纸和规范要求而实施、完成这项工程的一切有关费用</t>
  </si>
  <si>
    <t>6.61</t>
  </si>
  <si>
    <t>167</t>
  </si>
  <si>
    <t>010506024003</t>
  </si>
  <si>
    <t>1、高强螺栓 M20
2、综合考虑按图纸和规范要求而实施、完成这项工程的一切有关费用</t>
  </si>
  <si>
    <t>260.000</t>
  </si>
  <si>
    <t>8.70</t>
  </si>
  <si>
    <t>2262.00</t>
  </si>
  <si>
    <t>168</t>
  </si>
  <si>
    <t>010506024004</t>
  </si>
  <si>
    <t>1、高强螺栓 M22
2、综合考虑按图纸和规范要求而实施、完成这项工程的一切有关费用</t>
  </si>
  <si>
    <t>300.000</t>
  </si>
  <si>
    <t>9.69</t>
  </si>
  <si>
    <t>2907.00</t>
  </si>
  <si>
    <t>169</t>
  </si>
  <si>
    <t>010506024005</t>
  </si>
  <si>
    <t>1、高强螺栓 M24
2、综合考虑按图纸和规范要求而实施、完成这项工程的一切有关费用</t>
  </si>
  <si>
    <t>96.000</t>
  </si>
  <si>
    <t>10.69</t>
  </si>
  <si>
    <t>1026.24</t>
  </si>
  <si>
    <t>170</t>
  </si>
  <si>
    <t>010506024006</t>
  </si>
  <si>
    <t>1、高强螺栓 M30
2、综合考虑按图纸和规范要求而实施、完成这项工程的一切有关费用</t>
  </si>
  <si>
    <t>184.000</t>
  </si>
  <si>
    <t>13.67</t>
  </si>
  <si>
    <t>2515.28</t>
  </si>
  <si>
    <t>墙面彩钢板部分</t>
  </si>
  <si>
    <t>5999360.92</t>
  </si>
  <si>
    <t>171</t>
  </si>
  <si>
    <t>010603001002</t>
  </si>
  <si>
    <t>1、钢立柱
2、钢材品种、规格：热浸镀锌Q235B U型钢41*41*2.5、U51X65(δ≥3mm)热浸镀锌槽钢
3、金属结构件场外运输 运距综合考虑
4、超高降效费综合考虑
5、综合考虑按图纸和规范要求而实施、完成这项工程的一切有关费用</t>
  </si>
  <si>
    <t>370.520</t>
  </si>
  <si>
    <t>7293.88</t>
  </si>
  <si>
    <t>2702528.42</t>
  </si>
  <si>
    <t>172</t>
  </si>
  <si>
    <t>010607002003</t>
  </si>
  <si>
    <t>1、钢拉条
2、钢材品种、规格：热镀锌Q235B、圆钢φ12mm、套管φ32.5*2.5
3、金属结构件场外运输 运距综合考虑
4、超高降效费综合考虑
5、综合考虑按图纸和规范要求而实施、完成这项工程的一切有关费用</t>
  </si>
  <si>
    <t>11.160</t>
  </si>
  <si>
    <t>85756.01</t>
  </si>
  <si>
    <t>173</t>
  </si>
  <si>
    <t>010607003002</t>
  </si>
  <si>
    <t>1、钢檩条
2、钢材品种、规格：热镀锌Q355B C型钢300*80*20*2.0、300x80x20x2.5、300x80x20x3、300x80x20x3.5
3、金属结构件场外运输 运距综合考虑
4、超高降效费综合考虑
5、综合考虑按图纸和规范要求而实施、完成这项工程的一切有关费用</t>
  </si>
  <si>
    <t>342.720</t>
  </si>
  <si>
    <t>2739803.07</t>
  </si>
  <si>
    <t>174</t>
  </si>
  <si>
    <t>011402003005</t>
  </si>
  <si>
    <t>1、钢结构防火涂料
2、耐火极限(小时)1.5，膨胀型，防火保护层厚度(mm)≥1.5
3、综合考虑按图纸和规范要求而实施、完成这项工程的一切有关费用</t>
  </si>
  <si>
    <t>492.320</t>
  </si>
  <si>
    <t>30.74</t>
  </si>
  <si>
    <t>15133.92</t>
  </si>
  <si>
    <t>175</t>
  </si>
  <si>
    <t>011402003006</t>
  </si>
  <si>
    <t>5305.340</t>
  </si>
  <si>
    <t>454349.32</t>
  </si>
  <si>
    <t>176</t>
  </si>
  <si>
    <t>010506024007</t>
  </si>
  <si>
    <t>化学螺栓</t>
  </si>
  <si>
    <t>1、化学螺栓 M12
2、材质：304不锈钢
3、超高降效费综合考虑
4、综合考虑按图纸和规范要求而实施、完成这项工程的一切有关费用</t>
  </si>
  <si>
    <t>16.10</t>
  </si>
  <si>
    <t>177</t>
  </si>
  <si>
    <t>010506024008</t>
  </si>
  <si>
    <t>128.000</t>
  </si>
  <si>
    <t>805.12</t>
  </si>
  <si>
    <t>178</t>
  </si>
  <si>
    <t>010506024009</t>
  </si>
  <si>
    <t>1、高强螺栓 M16
2、综合考虑按图纸和规范要求而实施、完成这项工程的一切有关费用</t>
  </si>
  <si>
    <t>7.57</t>
  </si>
  <si>
    <t>968.96</t>
  </si>
  <si>
    <t>屋1.混凝土平屋面（倒置式屋面，一级防水,有保温层）</t>
  </si>
  <si>
    <t>89310.91</t>
  </si>
  <si>
    <t>179</t>
  </si>
  <si>
    <t>010902002001</t>
  </si>
  <si>
    <t>屋面涂膜防水</t>
  </si>
  <si>
    <t>1、2.5mm厚非固化橡胶沥青防水涂料。在出屋面的墙体、阴阳角、管道根部、烟气道根部、屋面泛水、排水（水落）口、上屋面门槛外侧、变形缝等节点做防水附加增强层，防水附加增强层采用2.0厚聚合物水泥防水涂料并粘贴聚酯无纺布胎体增强，附加层宽度应按加强部位的每个方向外扩300。
2、防水搭接、附加层及加强层等综合考虑
3、超高降效费综合考虑
4、综合考虑按图纸和规范要求而实施、完成这项工程的一切有关费用</t>
  </si>
  <si>
    <t>426.080</t>
  </si>
  <si>
    <t>37.87</t>
  </si>
  <si>
    <t>16135.65</t>
  </si>
  <si>
    <t>180</t>
  </si>
  <si>
    <t>010902001001</t>
  </si>
  <si>
    <t>屋面卷材防水</t>
  </si>
  <si>
    <t>1、3.0mm厚自粘聚合物改性沥青防水卷材(PY类Ⅰ型)
2、3.0mm厚自粘聚合物改性沥青防水卷材(PY类Ⅰ型)
3、防水搭接、附加层及加强层等综合考虑
4、超高降效费综合考虑
5、综合考虑按图纸和规范要求而实施、完成这项工程的一切有关费用</t>
  </si>
  <si>
    <t>67.07</t>
  </si>
  <si>
    <t>28577.19</t>
  </si>
  <si>
    <t>181</t>
  </si>
  <si>
    <t>011001001001</t>
  </si>
  <si>
    <t>保温隔热屋面</t>
  </si>
  <si>
    <t>1、50厚挤塑聚苯板（燃烧性能等级B1级，抗压强度≥150KPa，容重≥32kg/m³，采用5厚胶粘剂粘结，保温板的下部排水方向边缘应设排水凹槽）
2、超高降效费综合考虑
3、综合考虑按图纸和规范要求而实施、完成这项工程的一切有关费用</t>
  </si>
  <si>
    <t>411.080</t>
  </si>
  <si>
    <t>44.38</t>
  </si>
  <si>
    <t>18243.73</t>
  </si>
  <si>
    <t>182</t>
  </si>
  <si>
    <t>011003001001</t>
  </si>
  <si>
    <t>隔离层防腐</t>
  </si>
  <si>
    <t>1、干铺无纺聚酯纤维布一层，不应小于200g/m²
2、超高降效费综合考虑
3、综合考虑按图纸和规范要求而实施、完成这项工程的一切有关费用</t>
  </si>
  <si>
    <t>4.98</t>
  </si>
  <si>
    <t>2047.18</t>
  </si>
  <si>
    <t>183</t>
  </si>
  <si>
    <t>010902004001</t>
  </si>
  <si>
    <t>屋面刚性层</t>
  </si>
  <si>
    <t>1、50厚C25UEA补偿收缩细石砼（掺水泥用量12％），表面压光，内配Ф4@150双向焊接钢筋网片，置于中上部，保护层≥10mm，屋面面积超过30m²时，设分格缝≤3x3m（缝处钢筋网须断开），缝宽20mm，深40mm，与女儿墙及山墙交接处留30mm宽深缝，内嵌填聚乙烯泡沫棒，面嵌填7厚单组份聚氨酯密封胶
2、超高降效费综合考虑
3、综合考虑按图纸和规范要求而实施、完成这项工程的一切有关费用</t>
  </si>
  <si>
    <t>59.13</t>
  </si>
  <si>
    <t>24307.16</t>
  </si>
  <si>
    <t>屋2.金属压型板屋面</t>
  </si>
  <si>
    <t>2726971.50</t>
  </si>
  <si>
    <t>184</t>
  </si>
  <si>
    <t>010605003006</t>
  </si>
  <si>
    <t>钢屋面板</t>
  </si>
  <si>
    <t>1、2.4mm厚塑钢瓦（0.6mm厚压型镀铝锌钢板覆1.8mmTPO防水卷材），（钢板镀铝锌量不小于165q/m²，防水卷材采用灰色）
2、75厚离心玻璃棉保温层带单层铝箔隔热透气层(综合燃烧性能A级)
3、单价综合考虑屋脊、变形缝、SUS316不锈钢夹具等
4、超高降效费综合考虑
5、综合考虑按图纸和规范要求而实施、完成这项工程的一切有关费用</t>
  </si>
  <si>
    <t>9570.000</t>
  </si>
  <si>
    <t>257.45</t>
  </si>
  <si>
    <t>2463796.50</t>
  </si>
  <si>
    <t>185</t>
  </si>
  <si>
    <t>010506001064</t>
  </si>
  <si>
    <t>包塑钢绞线</t>
  </si>
  <si>
    <t>1、钢筋种类、规格：1.5包塑钢绞线
2、预应力位置：压型钢板屋面
3、超高降效费综合考虑
4、综合考虑按图纸和规范要求而实施、完成这项工程的一切有关费用</t>
  </si>
  <si>
    <t>95700.000</t>
  </si>
  <si>
    <t>2.75</t>
  </si>
  <si>
    <t>263175.00</t>
  </si>
  <si>
    <t>电梯基坑地防1（底板，一级防水）</t>
  </si>
  <si>
    <t>538.77</t>
  </si>
  <si>
    <t>186</t>
  </si>
  <si>
    <t>010904001001</t>
  </si>
  <si>
    <t>电梯基坑卷材防水</t>
  </si>
  <si>
    <t>1、防水层（工作年限不低于工程结构设计工作年限）：（上）3.0厚自粘聚合物改性沥青防水卷材(聚酯胎基)自粘搭接，（下）3.0厚自粘聚合物改性沥青防水卷材(聚酯胎基)自粘搭接。
2、综合考虑按图纸和规范要求而实施、完成这项工程的一切有关费用</t>
  </si>
  <si>
    <t>6.760</t>
  </si>
  <si>
    <t>79.70</t>
  </si>
  <si>
    <t>电梯基坑地防2（侧壁，一级防水）</t>
  </si>
  <si>
    <t>2482.68</t>
  </si>
  <si>
    <t>187</t>
  </si>
  <si>
    <t>010903001001</t>
  </si>
  <si>
    <t>墙面卷材防水</t>
  </si>
  <si>
    <t>1、（1）4.0厚弹性体(SBS)改性沥青防水卷材(II型)，（2）3.0厚弹性体(SBS)改性沥青防水卷材(II型)。两道防水层均上翻500与地下室顶板相交，遇地上墙柱上翻超过场地完成面500，下翻及上翻转角处增加卷材防水层一层，每边＞300。
2、综合考虑按图纸和规范要求而实施、完成这项工程的一切有关费用</t>
  </si>
  <si>
    <t>20.800</t>
  </si>
  <si>
    <t>69.98</t>
  </si>
  <si>
    <t>1455.58</t>
  </si>
  <si>
    <t>188</t>
  </si>
  <si>
    <t>011001003001</t>
  </si>
  <si>
    <t>保温隔热墙面</t>
  </si>
  <si>
    <t>1、30厚厚聚苯乙烯泡沫塑料板（32kg/m³）保护层,用聚醋酸乙烯胶粘剂条粘或点粘,与基层粘贴牢固
2、综合考虑按图纸和规范要求而实施、完成这项工程的一切有关费用</t>
  </si>
  <si>
    <t>49.38</t>
  </si>
  <si>
    <t>1027.10</t>
  </si>
  <si>
    <t>池1：消防水池、屋顶消防水箱构造作法</t>
  </si>
  <si>
    <t>112013.82</t>
  </si>
  <si>
    <t>189</t>
  </si>
  <si>
    <t>011101001001</t>
  </si>
  <si>
    <t>水泥砂浆楼地面(池底)</t>
  </si>
  <si>
    <t>1、15厚M20水泥砂浆找平层
2、超高降效费综合考虑
3、综合考虑按图纸和规范要求而实施、完成这项工程的一切有关费用</t>
  </si>
  <si>
    <t>543.890</t>
  </si>
  <si>
    <t>13.21</t>
  </si>
  <si>
    <t>7184.79</t>
  </si>
  <si>
    <t>190</t>
  </si>
  <si>
    <t>010904002001</t>
  </si>
  <si>
    <t>楼(地)面涂膜防水(池底)</t>
  </si>
  <si>
    <t>1、2.0mm厚聚合物水泥防水涂料（Ⅱ型）
2、超高降效费综合考虑
3、综合考虑按图纸和规范要求而实施、完成这项工程的一切有关费用</t>
  </si>
  <si>
    <t>558.890</t>
  </si>
  <si>
    <t>34.18</t>
  </si>
  <si>
    <t>19102.86</t>
  </si>
  <si>
    <t>191</t>
  </si>
  <si>
    <t>010904003001</t>
  </si>
  <si>
    <t>楼(地)面砂浆防水(池底)</t>
  </si>
  <si>
    <t>1、10厚聚合物水泥防水砂浆,应分遍抹,每次不能大于5mm
2、超高降效费综合考虑
3、综合考虑按图纸和规范要求而实施、完成这项工程的一切有关费用</t>
  </si>
  <si>
    <t>20.89</t>
  </si>
  <si>
    <t>11675.21</t>
  </si>
  <si>
    <t>192</t>
  </si>
  <si>
    <t>011201001001</t>
  </si>
  <si>
    <t>墙面一般抹灰(池壁)</t>
  </si>
  <si>
    <t>785.270</t>
  </si>
  <si>
    <t>18.83</t>
  </si>
  <si>
    <t>14786.63</t>
  </si>
  <si>
    <t>193</t>
  </si>
  <si>
    <t>010903002001</t>
  </si>
  <si>
    <t>墙面涂膜防水(池壁)</t>
  </si>
  <si>
    <t>38.25</t>
  </si>
  <si>
    <t>30036.58</t>
  </si>
  <si>
    <t>194</t>
  </si>
  <si>
    <t>010903003001</t>
  </si>
  <si>
    <t>墙面砂浆防水(池壁)</t>
  </si>
  <si>
    <t>37.22</t>
  </si>
  <si>
    <t>29227.75</t>
  </si>
  <si>
    <t>地1：地砖地面一（用于分拣用房、楼梯间、走廊、管理用房、档案室）</t>
  </si>
  <si>
    <t>150819.73</t>
  </si>
  <si>
    <t>195</t>
  </si>
  <si>
    <t>010501001002</t>
  </si>
  <si>
    <t>混凝土地坪</t>
  </si>
  <si>
    <t>1、100厚C15混凝土兼找平
2、素土夯实，夯实系数达到94%
3、超高降效费综合考虑
4、综合考虑按图纸和规范要求而实施、完成这项工程的一切有关费用</t>
  </si>
  <si>
    <t>614.550</t>
  </si>
  <si>
    <t>47.29</t>
  </si>
  <si>
    <t>29062.07</t>
  </si>
  <si>
    <t>196</t>
  </si>
  <si>
    <t>011102003001</t>
  </si>
  <si>
    <t>块料楼地面</t>
  </si>
  <si>
    <t>1、800*800*10mm哑面耐磨防滑地砖铺实拍平，白水泥或填缝剂擦缝。（用于楼梯间踏步防滑砖，砌出防滑条）（面砖规格颜色见装修图，送样选定）
2、30厚1：3干硬性水泥砂浆，表面撒水泥粉，淋适量清水。
3、素水泥浆一道（内掺6%建筑胶）
4、超高降效费综合考虑
5、综合考虑按图纸和规范要求而实施、完成这项工程的一切有关费用</t>
  </si>
  <si>
    <t>901.910</t>
  </si>
  <si>
    <t>93.69</t>
  </si>
  <si>
    <t>84499.95</t>
  </si>
  <si>
    <t>197</t>
  </si>
  <si>
    <t>011102003002</t>
  </si>
  <si>
    <t>块料楼地面（楼梯间）</t>
  </si>
  <si>
    <t>1、600*600*10mm哑面耐磨防滑地砖铺实拍平，白水泥或填缝剂擦缝。（用于楼梯间踏步防滑砖，砌出防滑条）（面砖规格颜色见装修图，送样选定）
2、30厚1：3干硬性水泥砂浆，表面撒水泥粉，淋适量清水。
3、素水泥浆一道（内掺6%建筑胶）
4、超高降效费综合考虑
5、综合考虑按图纸和规范要求而实施、完成这项工程的一切有关费用</t>
  </si>
  <si>
    <t>122.910</t>
  </si>
  <si>
    <t>91.54</t>
  </si>
  <si>
    <t>11251.18</t>
  </si>
  <si>
    <t>198</t>
  </si>
  <si>
    <t>011106003001</t>
  </si>
  <si>
    <t>块料楼地面(梯段)</t>
  </si>
  <si>
    <t>211.59</t>
  </si>
  <si>
    <t>26006.53</t>
  </si>
  <si>
    <t>地2：地砖地面二（用于卫生间）</t>
  </si>
  <si>
    <t>52740.95</t>
  </si>
  <si>
    <t>199</t>
  </si>
  <si>
    <t>011101002001</t>
  </si>
  <si>
    <t>细石混凝土楼地面</t>
  </si>
  <si>
    <t>1、25厚〔最薄处〕C2O细石砼找1%坡坡向地漏(与墙交接处抹成圆角),随手抹光。
2、素水泥浆一道(内掺6%建筑胶)
3、超高降效费综合考虑
4、综合考虑按图纸和规范要求而实施、完成这项工程的一切有关费用</t>
  </si>
  <si>
    <t>143.620</t>
  </si>
  <si>
    <t>34.26</t>
  </si>
  <si>
    <t>4920.42</t>
  </si>
  <si>
    <t>200</t>
  </si>
  <si>
    <t>010904002002</t>
  </si>
  <si>
    <t>楼(地)面涂膜防水</t>
  </si>
  <si>
    <t>1、基层处理剂一道，1.5厚聚氨酯防水涂料（单组分Ⅰ型），满涂箱底及箱壁，并沿周边上翻高于完成面300（侧壁洒绿豆砂）（地漏、管根处、阴阳角(修补成R20圆弧形)等节点处250范围内做附加防水处理,附加防水层采用1.5厚JS聚合物水泥防水涂料）
2、超高降效费综合考虑
3、综合考虑按图纸和规范要求而实施、完成这项工程的一切有关费用</t>
  </si>
  <si>
    <t>32.18</t>
  </si>
  <si>
    <t>4621.69</t>
  </si>
  <si>
    <t>201</t>
  </si>
  <si>
    <t>011101001002</t>
  </si>
  <si>
    <t>水泥砂浆找平（平面）</t>
  </si>
  <si>
    <t>1、15厚M15水泥砂浆找平
2、超高降效费综合考虑
3、综合考虑按图纸和规范要求而实施、完成这项工程的一切有关费用</t>
  </si>
  <si>
    <t>13.10</t>
  </si>
  <si>
    <t>1881.42</t>
  </si>
  <si>
    <t>202</t>
  </si>
  <si>
    <t>011201001002</t>
  </si>
  <si>
    <t>水泥砂浆找平（侧壁）</t>
  </si>
  <si>
    <t>1、10厚M15水泥砂浆
2、超高降效费综合考虑
3、综合考虑按图纸和规范要求而实施、完成这项工程的一切有关费用</t>
  </si>
  <si>
    <t>99.200</t>
  </si>
  <si>
    <t>14.02</t>
  </si>
  <si>
    <t>1390.78</t>
  </si>
  <si>
    <t>203</t>
  </si>
  <si>
    <t>010501001003</t>
  </si>
  <si>
    <t>轻骨料混凝土</t>
  </si>
  <si>
    <t>1、填充层LC7.5轻骨料混凝土
2、临时封堵好侧排口,48小时闭水试验。
3、超高降效费综合考虑
4、综合考虑按图纸和规范要求而实施、完成这项工程的一切有关费用</t>
  </si>
  <si>
    <t>57.448</t>
  </si>
  <si>
    <t>305.43</t>
  </si>
  <si>
    <t>17546.34</t>
  </si>
  <si>
    <t>204</t>
  </si>
  <si>
    <t>011101002002</t>
  </si>
  <si>
    <t>1、25厚(最薄处)C20细石砼找1%坡坡向地漏或排水沟,内配φ4@150双向焊接钢筋网片
2、超高降效费综合考虑
3、综合考虑按图纸和规范要求而实施、完成这项工程的一切有关费用</t>
  </si>
  <si>
    <t>36.66</t>
  </si>
  <si>
    <t>5265.11</t>
  </si>
  <si>
    <t>205</t>
  </si>
  <si>
    <t>010904002003</t>
  </si>
  <si>
    <t>1、2.0厚聚合物水泥防水涂料（Ⅱ型），沿周边上翻高于完成面300，与相通房间延伸500，并向门口两侧方向各延伸200（地漏、管根处、阴阳角(修补成R20圆弧形)等节点处250范围内做附加防水处理,附加防水层采用1.5厚JS聚合物水泥防水涂料）
2、基层处理剂一道
3、超高降效费综合考虑
4、综合考虑按图纸和规范要求而实施、完成这项工程的一切有关费用</t>
  </si>
  <si>
    <t>4908.93</t>
  </si>
  <si>
    <t>206</t>
  </si>
  <si>
    <t>011102003003</t>
  </si>
  <si>
    <t>1、600*600*10mm防滑地砖铺实拍平，白水泥或填缝剂擦缝
2、20厚M20水泥砂浆
3、超高降效费综合考虑
4、综合考虑按图纸和规范要求而实施、完成这项工程的一切有关费用</t>
  </si>
  <si>
    <t>84.99</t>
  </si>
  <si>
    <t>12206.26</t>
  </si>
  <si>
    <t>地3：地砖地面三（防水）（用于生活水泵房及控制室\湿式报警阀间）</t>
  </si>
  <si>
    <t>30495.56</t>
  </si>
  <si>
    <t>207</t>
  </si>
  <si>
    <t>010501001004</t>
  </si>
  <si>
    <t>150.380</t>
  </si>
  <si>
    <t>7111.47</t>
  </si>
  <si>
    <t>208</t>
  </si>
  <si>
    <t>010904002004</t>
  </si>
  <si>
    <t>1、2.0厚聚合物水泥防水涂料（Ⅱ型），沿周边上翻高于完成面300，与相通房间延伸500，并向门口两侧方向各延伸200（地漏、管根处、阴阳角(修补成R20圆弧形)等节点处250范围内做附加防水处理,附加防水层采用1.5厚JS聚合物水泥防水涂料）
2、超高降效费综合考虑
3、综合考虑按图纸和规范要求而实施、完成这项工程的一切有关费用</t>
  </si>
  <si>
    <t>5139.99</t>
  </si>
  <si>
    <t>209</t>
  </si>
  <si>
    <t>010904002005</t>
  </si>
  <si>
    <t>210</t>
  </si>
  <si>
    <t>011102003004</t>
  </si>
  <si>
    <t>1、8~10厚地砖铺实拍平，白水泥或填缝剂擦缝
2、20厚M20水泥砂浆
3、超高降效费综合考虑
4、综合考虑按图纸和规范要求而实施、完成这项工程的一切有关费用</t>
  </si>
  <si>
    <t>87.14</t>
  </si>
  <si>
    <t>13104.11</t>
  </si>
  <si>
    <t>地4：地砖地面四（防水）（用于生活水泵房及控制室、消防水泵房及控制室）</t>
  </si>
  <si>
    <t>31360.31</t>
  </si>
  <si>
    <t>211</t>
  </si>
  <si>
    <t>011101002003</t>
  </si>
  <si>
    <t>1、25厚〔最薄处〕C2O细石砼找1％坡坡向地漏，与墙交接处抹成圆角或详平面，随手抹光
2、素水泥浆一道(内掺6%建筑胶)
3、超高降效费综合考虑
4、综合考虑按图纸和规范要求而实施、完成这项工程的一切有关费用</t>
  </si>
  <si>
    <t>158.840</t>
  </si>
  <si>
    <t>38.06</t>
  </si>
  <si>
    <t>6045.45</t>
  </si>
  <si>
    <t>212</t>
  </si>
  <si>
    <t>010904002006</t>
  </si>
  <si>
    <t>167.840</t>
  </si>
  <si>
    <t>5736.77</t>
  </si>
  <si>
    <t>213</t>
  </si>
  <si>
    <t>010904002007</t>
  </si>
  <si>
    <t>214</t>
  </si>
  <si>
    <t>011102003005</t>
  </si>
  <si>
    <t>13841.32</t>
  </si>
  <si>
    <t>地5：金属耐磨面层一（用于储存区、装卸平台）</t>
  </si>
  <si>
    <t>2015121.57</t>
  </si>
  <si>
    <t>215</t>
  </si>
  <si>
    <t>010501001005</t>
  </si>
  <si>
    <t>1、200厚C15混凝土兼找平
2、超高降效费综合考虑
3、综合考虑按图纸和规范要求而实施、完成这项工程的一切有关费用</t>
  </si>
  <si>
    <t>8901.500</t>
  </si>
  <si>
    <t>85.10</t>
  </si>
  <si>
    <t>757517.65</t>
  </si>
  <si>
    <t>216</t>
  </si>
  <si>
    <t>010501001006</t>
  </si>
  <si>
    <t>混凝土面层</t>
  </si>
  <si>
    <t>1、200厚C30混凝土面层设分仓逢，内配单层双向φ8@150防裂钢筋网
2、超高降效费综合考虑
3、综合考虑按图纸和规范要求而实施、完成这项工程的一切有关费用</t>
  </si>
  <si>
    <t>108.78</t>
  </si>
  <si>
    <t>968305.17</t>
  </si>
  <si>
    <t>217</t>
  </si>
  <si>
    <t>011101001003</t>
  </si>
  <si>
    <t>金刚砂耐磨面层</t>
  </si>
  <si>
    <t>1、3厚金刚砂耐磨耐磨骨料(每平方米用料不少于6Kg。硬度大于莫氏7级。)，专用抹平机压实抹平
2、超高降效费综合考虑
3、综合考虑按图纸和规范要求而实施、完成这项工程的一切有关费用</t>
  </si>
  <si>
    <t>14.14</t>
  </si>
  <si>
    <t>125867.21</t>
  </si>
  <si>
    <t>218</t>
  </si>
  <si>
    <t>011101001004</t>
  </si>
  <si>
    <t>密封固化剂地面</t>
  </si>
  <si>
    <t>1、表面施工混凝土密封固化剂(0.5kg/m²)（施工做法参图集13CJ39，面层在浇筑混凝士过程中，应使用专用机械设备打磨、压光使之形成高强、致密的面层。金刚砂耐磨耐磨骨料须15d以后施工混凝土密封固化剂）（面层完成后做好保护措施，方可施工其他工序）
2、超高降效费综合考虑
3、综合考虑按图纸和规范要求而实施、完成这项工程的一切有关费用</t>
  </si>
  <si>
    <t>18.36</t>
  </si>
  <si>
    <t>163431.54</t>
  </si>
  <si>
    <t>地6：防油渗细石混凝土面层（用于储油间）</t>
  </si>
  <si>
    <t>1205.88</t>
  </si>
  <si>
    <t>219</t>
  </si>
  <si>
    <t>010501001007</t>
  </si>
  <si>
    <t>8.530</t>
  </si>
  <si>
    <t>403.38</t>
  </si>
  <si>
    <t>220</t>
  </si>
  <si>
    <t>011101002004</t>
  </si>
  <si>
    <t>1、50厚C25防油渗细石混凝土，随打随抹光
2、素水泥浆一道（内掺6%建筑胶）
3、超高降效费综合考虑
4、综合考虑按图纸和规范要求而实施、完成这项工程的一切有关费用</t>
  </si>
  <si>
    <t>324.65</t>
  </si>
  <si>
    <t>221</t>
  </si>
  <si>
    <t>011101001005</t>
  </si>
  <si>
    <t>1、表面涂密封固化剂
2、超高降效费综合考虑
3、综合考虑按图纸和规范要求而实施、完成这项工程的一切有关费用</t>
  </si>
  <si>
    <t>156.61</t>
  </si>
  <si>
    <t>222</t>
  </si>
  <si>
    <t>010101003001</t>
  </si>
  <si>
    <t>回填200厚细砂</t>
  </si>
  <si>
    <t>1、回填200厚细砂</t>
  </si>
  <si>
    <t>1.706</t>
  </si>
  <si>
    <t>188.30</t>
  </si>
  <si>
    <t>321.24</t>
  </si>
  <si>
    <t>地7：水泥基自流平面层一（用于排烟机房、配电间、弱电间、强电井、弱电井、工具间、通信机房、走道、发电机房）</t>
  </si>
  <si>
    <t>37459.30</t>
  </si>
  <si>
    <t>223</t>
  </si>
  <si>
    <t>010501001008</t>
  </si>
  <si>
    <t>562.030</t>
  </si>
  <si>
    <t>26578.40</t>
  </si>
  <si>
    <t>224</t>
  </si>
  <si>
    <t>011101003001</t>
  </si>
  <si>
    <t>水泥自流平地面</t>
  </si>
  <si>
    <t>1、封闭剂或混凝土固化剂1道
2、5厚水泥基自流平面层（燃烧性能A级）
3、自流平界面剂2道
4、超高降效费综合考虑
5、综合考虑按图纸和规范要求而实施、完成这项工程的一切有关费用</t>
  </si>
  <si>
    <t>19.36</t>
  </si>
  <si>
    <t>10880.90</t>
  </si>
  <si>
    <t>地8：水泥基自流平面层二（配电房、开关房）</t>
  </si>
  <si>
    <t>44922.90</t>
  </si>
  <si>
    <t>225</t>
  </si>
  <si>
    <t>010501001009</t>
  </si>
  <si>
    <t>330.000</t>
  </si>
  <si>
    <t>15605.70</t>
  </si>
  <si>
    <t>226</t>
  </si>
  <si>
    <t>011101002005</t>
  </si>
  <si>
    <t>1、120厚C25钢筋混凝土面层，随捣随抹平，内配φ8@200单层双向钢筋（分隔缝间距不大于6x6m，缝宽10，缝深20，PU弹性填缝，钢筋在分隔缝处断开）
2、超高降效费综合考虑
3、综合考虑按图纸和规范要求而实施、完成这项工程的一切有关费用</t>
  </si>
  <si>
    <t>69.48</t>
  </si>
  <si>
    <t>22928.40</t>
  </si>
  <si>
    <t>227</t>
  </si>
  <si>
    <t>011101003002</t>
  </si>
  <si>
    <t>6388.80</t>
  </si>
  <si>
    <t>地9：混凝土地面一（风井、走道）</t>
  </si>
  <si>
    <t>609.10</t>
  </si>
  <si>
    <t>228</t>
  </si>
  <si>
    <t>010501001010</t>
  </si>
  <si>
    <t>12.880</t>
  </si>
  <si>
    <t>地10：混凝土地面二（货物运输通道）</t>
  </si>
  <si>
    <t>1439048.00</t>
  </si>
  <si>
    <t>229</t>
  </si>
  <si>
    <t>010501001011</t>
  </si>
  <si>
    <t>水泥石粉渣稳定层</t>
  </si>
  <si>
    <t>1、300厚6%水泥石粉渣稳定层,压实系数≥95%
2、超高降效费综合考虑
3、综合考虑按图纸和规范要求而实施、完成这项工程的一切有关费用</t>
  </si>
  <si>
    <t>6869.620</t>
  </si>
  <si>
    <t>58.29</t>
  </si>
  <si>
    <t>400430.15</t>
  </si>
  <si>
    <t>230</t>
  </si>
  <si>
    <t>010501001012</t>
  </si>
  <si>
    <t>1、待混凝土初凝后在表面压出横向防滑路纹
2、230厚C30混凝土面层，内配单层双向c12@150防裂钢筋网，按4m~6m分仓跳格浇筑，纵向每格25m-30m设1道伸缝。缝宽20-30，内填沥青砂子或沥青处理，松木条嵌缝(柱四周200设分隔缝，缝宽20-30，内填沥青砂子或沥青处理，松木条嵌缝)
3、超高降效费综合考虑
4、综合考虑按图纸和规范要求而实施、完成这项工程的一切有关费用</t>
  </si>
  <si>
    <t>151.19</t>
  </si>
  <si>
    <t>1038617.85</t>
  </si>
  <si>
    <t>地12：防静电地板（用于消防控制室、弱电机房）</t>
  </si>
  <si>
    <t>39732.58</t>
  </si>
  <si>
    <t>231</t>
  </si>
  <si>
    <t>010501001013</t>
  </si>
  <si>
    <t>112.350</t>
  </si>
  <si>
    <t>5313.03</t>
  </si>
  <si>
    <t>232</t>
  </si>
  <si>
    <t>011101001006</t>
  </si>
  <si>
    <t>水泥砂浆楼地面</t>
  </si>
  <si>
    <t>1、20厚M15水泥砂浆(1:3水泥砂浆)找平
2、素水泥浆一道（内掺6%建筑胶）
3、超高降效费综合考虑
4、综合考虑按图纸和规范要求而实施、完成这项工程的一切有关费用</t>
  </si>
  <si>
    <t>16.47</t>
  </si>
  <si>
    <t>1850.40</t>
  </si>
  <si>
    <t>233</t>
  </si>
  <si>
    <t>011101001007</t>
  </si>
  <si>
    <t>封闭剂楼地面</t>
  </si>
  <si>
    <t>1、混凝土密封封闭剂1道
2、素水泥浆一道
3、超高降效费综合考虑
4、综合考虑按图纸和规范要求而实施、完成这项工程的一切有关费用</t>
  </si>
  <si>
    <t>2062.75</t>
  </si>
  <si>
    <t>234</t>
  </si>
  <si>
    <t>011109001001</t>
  </si>
  <si>
    <t>架空地板</t>
  </si>
  <si>
    <t>1、350高活动地板支撑脚架+全钢防静电活动地板
2、超高降效费综合考虑
3、综合考虑按图纸和规范要求而实施、完成这项工程的一切有关费用</t>
  </si>
  <si>
    <t>271.53</t>
  </si>
  <si>
    <t>30506.40</t>
  </si>
  <si>
    <t>地13：防水砂浆楼面（用于空调管井）</t>
  </si>
  <si>
    <t>321.13</t>
  </si>
  <si>
    <t>235</t>
  </si>
  <si>
    <t>010501001014</t>
  </si>
  <si>
    <t>4.200</t>
  </si>
  <si>
    <t>198.62</t>
  </si>
  <si>
    <t>236</t>
  </si>
  <si>
    <t>011101001008</t>
  </si>
  <si>
    <t>1、20厚(最薄处)DW(WW)M20水泥防水砂浆（并沿周边上翻高于完成面300）找1%坡，坡向地漏，收光
2、素水泥浆一道（内掺6%建筑胶）
3、超高降效费综合考虑
4、综合考虑按图纸和规范要求而实施、完成这项工程的一切有关费用</t>
  </si>
  <si>
    <t>29.17</t>
  </si>
  <si>
    <t>122.51</t>
  </si>
  <si>
    <t>地14：地砖地面四（用于一层管理用房）</t>
  </si>
  <si>
    <t>97210.15</t>
  </si>
  <si>
    <t>237</t>
  </si>
  <si>
    <t>010501001015</t>
  </si>
  <si>
    <t>181.720</t>
  </si>
  <si>
    <t>8593.54</t>
  </si>
  <si>
    <t>238</t>
  </si>
  <si>
    <t>011101002006</t>
  </si>
  <si>
    <t>6225.73</t>
  </si>
  <si>
    <t>239</t>
  </si>
  <si>
    <t>010904002008</t>
  </si>
  <si>
    <t>1、2.0厚聚合物水泥防水涂料（Ⅱ型），沿周边上翻高于完成面300
2、超高降效费综合考虑
3、综合考虑按图纸和规范要求而实施、完成这项工程的一切有关费用</t>
  </si>
  <si>
    <t>6211.19</t>
  </si>
  <si>
    <t>240</t>
  </si>
  <si>
    <t>010904002009</t>
  </si>
  <si>
    <t>241</t>
  </si>
  <si>
    <t>011101001009</t>
  </si>
  <si>
    <t>2380.53</t>
  </si>
  <si>
    <t>242</t>
  </si>
  <si>
    <t>011201001003</t>
  </si>
  <si>
    <t>52.000</t>
  </si>
  <si>
    <t>729.04</t>
  </si>
  <si>
    <t>243</t>
  </si>
  <si>
    <t>010501001016</t>
  </si>
  <si>
    <t>1、填充层LC7.5轻骨料混凝土
2、超高降效费综合考虑
3、综合考虑按图纸和规范要求而实施、完成这项工程的一切有关费用</t>
  </si>
  <si>
    <t>90.860</t>
  </si>
  <si>
    <t>27751.37</t>
  </si>
  <si>
    <t>244</t>
  </si>
  <si>
    <t>011102003006</t>
  </si>
  <si>
    <t>1、800*800*10mm哑面地砖铺实拍平，白水泥或填缝剂擦缝
2、20厚M20水泥砂浆
3、超高降效费综合考虑
4、综合考虑按图纸和规范要求而实施、完成这项工程的一切有关费用</t>
  </si>
  <si>
    <t>448.790</t>
  </si>
  <si>
    <t>39107.56</t>
  </si>
  <si>
    <t>楼1：地砖楼面一（用于分拣用房、楼梯间、走廊\调度室\司机休息室\）</t>
  </si>
  <si>
    <t>187363.46</t>
  </si>
  <si>
    <t>245</t>
  </si>
  <si>
    <t>011102003007</t>
  </si>
  <si>
    <t>1、800*800*10mm哑面地砖地砖铺实拍平，白水泥或填缝剂擦缝。（用于楼梯间踏步防滑砖，砌出防滑条）（面砖规格颜色见装修图，送样选定）
2、30厚1：3干硬性水泥砂浆，表面撒水泥粉，淋适量清水。
3、素水泥浆一道（内掺6%建筑胶）
4、超高降效费综合考虑
5、综合考虑按图纸和规范要求而实施、完成这项工程的一切有关费用</t>
  </si>
  <si>
    <t>962.154</t>
  </si>
  <si>
    <t>90144.21</t>
  </si>
  <si>
    <t>246</t>
  </si>
  <si>
    <t>011102003008</t>
  </si>
  <si>
    <t>320.718</t>
  </si>
  <si>
    <t>29358.53</t>
  </si>
  <si>
    <t>247</t>
  </si>
  <si>
    <t>011106003002</t>
  </si>
  <si>
    <t>67860.72</t>
  </si>
  <si>
    <t>楼2：地砖楼面二（用于卫生间）</t>
  </si>
  <si>
    <t>184804.39</t>
  </si>
  <si>
    <t>248</t>
  </si>
  <si>
    <t>011101002007</t>
  </si>
  <si>
    <t>1、25厚〔最薄处〕C2O细石砼找1%坡坡向地漏(与墙交接处抹成圆角),随手抹光
2、素水泥浆一道(内掺6%建筑胶)
3、超高降效费综合考虑
4、综合考虑按图纸和规范要求而实施、完成这项工程的一切有关费用</t>
  </si>
  <si>
    <t>476.330</t>
  </si>
  <si>
    <t>16319.07</t>
  </si>
  <si>
    <t>249</t>
  </si>
  <si>
    <t>010904002010</t>
  </si>
  <si>
    <t>717.750</t>
  </si>
  <si>
    <t>23097.20</t>
  </si>
  <si>
    <t>250</t>
  </si>
  <si>
    <t>011101001010</t>
  </si>
  <si>
    <t>6239.92</t>
  </si>
  <si>
    <t>251</t>
  </si>
  <si>
    <t>011201001004</t>
  </si>
  <si>
    <t>479.850</t>
  </si>
  <si>
    <t>6727.50</t>
  </si>
  <si>
    <t>252</t>
  </si>
  <si>
    <t>010501001017</t>
  </si>
  <si>
    <t>190.532</t>
  </si>
  <si>
    <t>58194.19</t>
  </si>
  <si>
    <t>253</t>
  </si>
  <si>
    <t>011101002008</t>
  </si>
  <si>
    <t>17462.26</t>
  </si>
  <si>
    <t>254</t>
  </si>
  <si>
    <t>010904002011</t>
  </si>
  <si>
    <t>16280.96</t>
  </si>
  <si>
    <t>255</t>
  </si>
  <si>
    <t>011102003009</t>
  </si>
  <si>
    <t>40483.29</t>
  </si>
  <si>
    <t>楼3：地砖3（防水）（用于清洁间）</t>
  </si>
  <si>
    <t>2565.20</t>
  </si>
  <si>
    <t>256</t>
  </si>
  <si>
    <t>011101002009</t>
  </si>
  <si>
    <t>11.200</t>
  </si>
  <si>
    <t>26.66</t>
  </si>
  <si>
    <t>298.59</t>
  </si>
  <si>
    <t>257</t>
  </si>
  <si>
    <t>010904002012</t>
  </si>
  <si>
    <t>1、2.0厚聚合物水泥防水涂料（Ⅱ型），沿周边上翻高于完成面300（地漏、管根处、阴阳角(修补成R20圆弧形)等节点处250范围内做附加防水处理,附加防水层采用1.5厚JS聚合物水泥防水涂料）
2、超高降效费综合考虑
3、综合考虑按图纸和规范要求而实施、完成这项工程的一切有关费用</t>
  </si>
  <si>
    <t>18.880</t>
  </si>
  <si>
    <t>645.32</t>
  </si>
  <si>
    <t>258</t>
  </si>
  <si>
    <t>010904002013</t>
  </si>
  <si>
    <t>259</t>
  </si>
  <si>
    <t>011102003010</t>
  </si>
  <si>
    <t>975.97</t>
  </si>
  <si>
    <t>楼4：金属耐磨面层（用于储存区、装卸平台）</t>
  </si>
  <si>
    <t>608716.55</t>
  </si>
  <si>
    <t>260</t>
  </si>
  <si>
    <t>011101001011</t>
  </si>
  <si>
    <t>18729.740</t>
  </si>
  <si>
    <t>264838.52</t>
  </si>
  <si>
    <t>261</t>
  </si>
  <si>
    <t>011101001012</t>
  </si>
  <si>
    <t>343878.03</t>
  </si>
  <si>
    <t>楼5：地坪漆楼面（用于排烟机房、配电间、弱电间、强电井、弱电井、工具间）</t>
  </si>
  <si>
    <t>3471.25</t>
  </si>
  <si>
    <t>262</t>
  </si>
  <si>
    <t>011101003003</t>
  </si>
  <si>
    <t>179.300</t>
  </si>
  <si>
    <t>楼6：混凝土楼面一（货物运输通道）</t>
  </si>
  <si>
    <t>578109.91</t>
  </si>
  <si>
    <t>263</t>
  </si>
  <si>
    <t>011101001013</t>
  </si>
  <si>
    <t>防滑路纹</t>
  </si>
  <si>
    <t>1、待混凝土初凝后在表面压出横向防滑路纹
2、超高降效费综合考虑
3、综合考虑按图纸和规范要求而实施、完成这项工程的一切有关费用</t>
  </si>
  <si>
    <t>20024.590</t>
  </si>
  <si>
    <t>3.70</t>
  </si>
  <si>
    <t>74090.98</t>
  </si>
  <si>
    <t>264</t>
  </si>
  <si>
    <t>010904002014</t>
  </si>
  <si>
    <t>外涂型水泥基渗透结品型防水层</t>
  </si>
  <si>
    <t>1、外涂型水泥基渗透结品型防水层（厚度1.0mm，用量1.5kg/m2，分两遍完成）（施工前混凝土面清干净后，充分喷水湿润，表面无明水，内部充分吸水）
2、综合考虑按图纸和规范要求而实施、完成这项工程的一切有关费用</t>
  </si>
  <si>
    <t>25.17</t>
  </si>
  <si>
    <t>504018.93</t>
  </si>
  <si>
    <t>楼7：混凝土楼面二（风井）</t>
  </si>
  <si>
    <t>17.26</t>
  </si>
  <si>
    <t>265</t>
  </si>
  <si>
    <t>011101001014</t>
  </si>
  <si>
    <t>混凝土楼面二</t>
  </si>
  <si>
    <t>1、钢筋砼楼板，随捣随抹光，清除砼板上不坚固的灰尘及杂物。
2、综合考虑按图纸和规范要求而实施、完成这项工程的一切有关费用</t>
  </si>
  <si>
    <t>4.11</t>
  </si>
  <si>
    <t>楼8：防水砂浆楼面（用于空调管井）</t>
  </si>
  <si>
    <t>266.92</t>
  </si>
  <si>
    <t>266</t>
  </si>
  <si>
    <t>011101001015</t>
  </si>
  <si>
    <t>25.74</t>
  </si>
  <si>
    <t>踢1：面砖、石材踢脚</t>
  </si>
  <si>
    <t>18154.27</t>
  </si>
  <si>
    <t>267</t>
  </si>
  <si>
    <t>011105003001</t>
  </si>
  <si>
    <t>块料踢脚线</t>
  </si>
  <si>
    <t>1、界面处理剂一遍
2、瓷砖胶粘贴同地面颜色的5厚釉面砖，高100mm，加坡脚处理，填缝剂擦缝
3、超高降效费综合考虑
4、综合考虑按图纸和规范要求而实施、完成这项工程的一切有关费用</t>
  </si>
  <si>
    <t>158.830</t>
  </si>
  <si>
    <t>114.30</t>
  </si>
  <si>
    <t>踢2：金属踢脚（高100mm）</t>
  </si>
  <si>
    <t>817.39</t>
  </si>
  <si>
    <t>268</t>
  </si>
  <si>
    <t>011105006001</t>
  </si>
  <si>
    <t>金属踢脚线</t>
  </si>
  <si>
    <t>1、8厚高100成品灰色不锈钢踢脚板安装在金属卡件上
2、水泥钉固定金属卡件上端，中距300
3、10厚DPM15(1:3水泥砂浆)压实抹平
4、界面剂一道
5、超高降效费综合考虑
6、综合考虑按图纸和规范要求而实施、完成这项工程的一切有关费用</t>
  </si>
  <si>
    <t>5.900</t>
  </si>
  <si>
    <t>138.54</t>
  </si>
  <si>
    <t>踢3：涂料踢脚（高100mm）</t>
  </si>
  <si>
    <t>6351.53</t>
  </si>
  <si>
    <t>269</t>
  </si>
  <si>
    <t>011105001001</t>
  </si>
  <si>
    <t>涂料踢脚</t>
  </si>
  <si>
    <t>1、喷或刷深灰色防霉防潮内墙涂料，高100mm（仓库高度200）：底漆一道，面漆两道
2、超高降效费综合考虑
3、综合考虑按图纸和规范要求而实施、完成这项工程的一切有关费用</t>
  </si>
  <si>
    <t>291.890</t>
  </si>
  <si>
    <t>21.76</t>
  </si>
  <si>
    <t>内墙面工程</t>
  </si>
  <si>
    <t>3490829.12</t>
  </si>
  <si>
    <t>内1：涂料1</t>
  </si>
  <si>
    <t>1469842.54</t>
  </si>
  <si>
    <t>270</t>
  </si>
  <si>
    <t>011201001005</t>
  </si>
  <si>
    <t>墙面一般抹灰</t>
  </si>
  <si>
    <t>1、刷专用界面剂一道
2、15厚1:3水泥抗裂砂浆分两次抹平，每次7-8厚
3、5厚1:1:3水泥石灰砂浆罩面
4、超高降效费综合考虑
5、综合考虑按图纸和规范要求而实施、完成这项工程的一切有关费用</t>
  </si>
  <si>
    <t>16208.470</t>
  </si>
  <si>
    <t>39.99</t>
  </si>
  <si>
    <t>648176.72</t>
  </si>
  <si>
    <t>271</t>
  </si>
  <si>
    <t>011403003001</t>
  </si>
  <si>
    <t>抹灰面油漆</t>
  </si>
  <si>
    <t>1、2厚涂料自带专用耐水腻子二遍抹平
2、面层喷或刷白色内墙无机涂料,底涂料、中涂料，面涂料各一遍。
3、超高降效费综合考虑
4、综合考虑按图纸和规范要求而实施、完成这项工程的一切有关费用</t>
  </si>
  <si>
    <t>31.39</t>
  </si>
  <si>
    <t>508783.87</t>
  </si>
  <si>
    <t>272</t>
  </si>
  <si>
    <t>011201001006</t>
  </si>
  <si>
    <t>柱面一般抹灰</t>
  </si>
  <si>
    <t>3443.940</t>
  </si>
  <si>
    <t>56.55</t>
  </si>
  <si>
    <t>194754.81</t>
  </si>
  <si>
    <t>273</t>
  </si>
  <si>
    <t>011403003002</t>
  </si>
  <si>
    <t>柱面抹灰面油漆</t>
  </si>
  <si>
    <t>34.30</t>
  </si>
  <si>
    <t>118127.14</t>
  </si>
  <si>
    <t>内2：涂料2（用于空调管井,泵房\清洁间）</t>
  </si>
  <si>
    <t>61675.81</t>
  </si>
  <si>
    <t>274</t>
  </si>
  <si>
    <t>011201001007</t>
  </si>
  <si>
    <t>1、刷专用界面剂一道
2、15厚1:3水泥抗裂砂浆分两次抹平，每次7-8厚
3、超高降效费综合考虑
4、综合考虑按图纸和规范要求而实施、完成这项工程的一切有关费用</t>
  </si>
  <si>
    <t>763.220</t>
  </si>
  <si>
    <t>32.42</t>
  </si>
  <si>
    <t>24743.59</t>
  </si>
  <si>
    <t>275</t>
  </si>
  <si>
    <t>011201001008</t>
  </si>
  <si>
    <t>1、5厚聚合物水泥防水砂浆（单组分Ⅰ型）
2、超高降效费综合考虑
3、综合考虑按图纸和规范要求而实施、完成这项工程的一切有关费用</t>
  </si>
  <si>
    <t>17.00</t>
  </si>
  <si>
    <t>12974.74</t>
  </si>
  <si>
    <t>276</t>
  </si>
  <si>
    <t>011403003003</t>
  </si>
  <si>
    <t>23957.48</t>
  </si>
  <si>
    <t>内3：面砖内墙（用于卫生间）</t>
  </si>
  <si>
    <t>216513.96</t>
  </si>
  <si>
    <t>277</t>
  </si>
  <si>
    <t>011201001009</t>
  </si>
  <si>
    <t>1262.450</t>
  </si>
  <si>
    <t>40928.63</t>
  </si>
  <si>
    <t>278</t>
  </si>
  <si>
    <t>011201001010</t>
  </si>
  <si>
    <t>1420.850</t>
  </si>
  <si>
    <t>24154.45</t>
  </si>
  <si>
    <t>279</t>
  </si>
  <si>
    <t>011203003001</t>
  </si>
  <si>
    <t>块料墙面</t>
  </si>
  <si>
    <t>1、瓷砖胶粘贴600*300*10mm厚白色墙面砖（光面），白水泥浆擦缝
2、超高降效费综合考虑
3、综合考虑按图纸和规范要求而实施、完成这项工程的一切有关费用</t>
  </si>
  <si>
    <t>119.95</t>
  </si>
  <si>
    <t>151430.88</t>
  </si>
  <si>
    <t>内4：面砖内墙（用于临钢板外墙的卫生间）</t>
  </si>
  <si>
    <t>36868.15</t>
  </si>
  <si>
    <t>280</t>
  </si>
  <si>
    <t>011201001011</t>
  </si>
  <si>
    <t>纤维增强硅酸钙板</t>
  </si>
  <si>
    <t>1、12厚纤维增强硅酸钙板
2、超高降效费综合考虑
3、综合考虑按图纸和规范要求而实施、完成这项工程的一切有关费用</t>
  </si>
  <si>
    <t>288.560</t>
  </si>
  <si>
    <t>41.33</t>
  </si>
  <si>
    <t>11926.18</t>
  </si>
  <si>
    <t>281</t>
  </si>
  <si>
    <t>011201001012</t>
  </si>
  <si>
    <t>4905.52</t>
  </si>
  <si>
    <t>282</t>
  </si>
  <si>
    <t>011203003002</t>
  </si>
  <si>
    <t>167.040</t>
  </si>
  <si>
    <t>20036.45</t>
  </si>
  <si>
    <t>内5：压型钢板内衬墙板（用于压型钢板外墙内衬墙板）</t>
  </si>
  <si>
    <t>1603585.60</t>
  </si>
  <si>
    <t>283</t>
  </si>
  <si>
    <t>011205001002</t>
  </si>
  <si>
    <t>墙面装饰板</t>
  </si>
  <si>
    <t>1、0.4（基板）厚镀铝锌压型彩钢板竖向通高布置，上部收边见节点大样图
2、超高降效费综合考虑
3、综合考虑按图纸和规范要求而实施、完成这项工程的一切有关费用</t>
  </si>
  <si>
    <t>19831.630</t>
  </si>
  <si>
    <t>80.86</t>
  </si>
  <si>
    <t>内6：压型钢板内衬墙板（用于存储区5米高以上防火分区内隔墙）</t>
  </si>
  <si>
    <t>25599.87</t>
  </si>
  <si>
    <t>284</t>
  </si>
  <si>
    <t>011403003004</t>
  </si>
  <si>
    <t>1、2厚涂料自带专用耐水腻子二遍抹平
2、面层喷或刷白色内墙涂料二道
3、超高降效费综合考虑
4、综合考虑按图纸和规范要求而实施、完成这项工程的一切有关费用</t>
  </si>
  <si>
    <t>981.590</t>
  </si>
  <si>
    <t>26.08</t>
  </si>
  <si>
    <t>内7：吸音墙面（用于发电机房）</t>
  </si>
  <si>
    <t>35272.69</t>
  </si>
  <si>
    <t>285</t>
  </si>
  <si>
    <t>011201001013</t>
  </si>
  <si>
    <t>1、刷专用界面剂一道
2、8厚1:3水泥抗裂砂浆分两次抹平
3、超高降效费综合考虑
4、综合考虑按图纸和规范要求而实施、完成这项工程的一切有关费用</t>
  </si>
  <si>
    <t>126.100</t>
  </si>
  <si>
    <t>12.14</t>
  </si>
  <si>
    <t>1530.85</t>
  </si>
  <si>
    <t>286</t>
  </si>
  <si>
    <t>011205001003</t>
  </si>
  <si>
    <t>1、吸音墙面
2、超高降效费综合考虑
3、综合考虑按图纸和规范要求而实施、完成这项工程的一切有关费用</t>
  </si>
  <si>
    <t>267.58</t>
  </si>
  <si>
    <t>33741.84</t>
  </si>
  <si>
    <t>内8：预拌砂浆</t>
  </si>
  <si>
    <t>1850.32</t>
  </si>
  <si>
    <t>287</t>
  </si>
  <si>
    <t>011201001014</t>
  </si>
  <si>
    <t>墙、柱面一般抹灰</t>
  </si>
  <si>
    <t>1、刷专用界面剂一道
2、8厚M5水泥石灰砂浆面层压光
3、超高降效费综合考虑
4、综合考虑按图纸和规范要求而实施、完成这项工程的一切有关费用</t>
  </si>
  <si>
    <t>154.580</t>
  </si>
  <si>
    <t>11.97</t>
  </si>
  <si>
    <t>裙1：内墙柱阳角（护角材料可选）</t>
  </si>
  <si>
    <t>2532.48</t>
  </si>
  <si>
    <t>288</t>
  </si>
  <si>
    <t>011506003001</t>
  </si>
  <si>
    <t>内墙柱阳角</t>
  </si>
  <si>
    <t>1、L75X6镀锌钢护角：防撞护角高度1.2米，距地200安装。（用于储存区内柱角、墙角、门角）
2、超高降效费综合考虑
3、综合考虑按图纸和规范要求而实施、完成这项工程的一切有关费用</t>
  </si>
  <si>
    <t>根</t>
  </si>
  <si>
    <t>48.000</t>
  </si>
  <si>
    <t>52.76</t>
  </si>
  <si>
    <t>裙2：面砖墙裙（用于清洁间）</t>
  </si>
  <si>
    <t>19000.08</t>
  </si>
  <si>
    <t>289</t>
  </si>
  <si>
    <t>011203003003</t>
  </si>
  <si>
    <t>1、瓷砖胶粘贴8~10厚瓷砖，墙裙高1200，填缝剂擦缝
2、超高降效费综合考虑
3、综合考虑按图纸和规范要求而实施、完成这项工程的一切有关费用</t>
  </si>
  <si>
    <t>158.400</t>
  </si>
  <si>
    <t>挂网</t>
  </si>
  <si>
    <t>18087.62</t>
  </si>
  <si>
    <t>290</t>
  </si>
  <si>
    <t>011201001015</t>
  </si>
  <si>
    <t>内墙面钉（挂）镀锌钢丝网</t>
  </si>
  <si>
    <t>1、墙、柱面钉(挂)镀锌钢(铁)网
2、镀锌铁丝网规格综合考虑
3、超高降效费综合考虑
4、综合考虑按图纸和规范要求而实施、完成这项工程的一切有关费用</t>
  </si>
  <si>
    <t>955.500</t>
  </si>
  <si>
    <t>16.31</t>
  </si>
  <si>
    <t>15584.21</t>
  </si>
  <si>
    <t>291</t>
  </si>
  <si>
    <t>011201001016</t>
  </si>
  <si>
    <t>内墙面挂网抹灰人工增加费</t>
  </si>
  <si>
    <t>1、墙面挂网抹灰人工增加费
2、超高降效费综合考虑
3、综合考虑按图纸和规范要求而实施、完成这项工程的一切有关费用</t>
  </si>
  <si>
    <t>2.62</t>
  </si>
  <si>
    <t>2503.41</t>
  </si>
  <si>
    <t>外墙面工程</t>
  </si>
  <si>
    <t>3090212.21</t>
  </si>
  <si>
    <t>外1：涂料（一级防水)</t>
  </si>
  <si>
    <t>211817.28</t>
  </si>
  <si>
    <t>292</t>
  </si>
  <si>
    <t>011201001017</t>
  </si>
  <si>
    <t>1、5厚M15水泥砂浆分两次抹灰，原浆压光，预留10宽分格缝
2、15厚M15水泥防水砂浆（掺5％防水剂）分两次抹灰，原浆压光，预留10宽分格缝
3、超高降效费综合考虑
4、综合考虑按图纸和规范要求而实施、完成这项工程的一切有关费用</t>
  </si>
  <si>
    <t>1771.640</t>
  </si>
  <si>
    <t>46.65</t>
  </si>
  <si>
    <t>82647.01</t>
  </si>
  <si>
    <t>293</t>
  </si>
  <si>
    <t>011201001018</t>
  </si>
  <si>
    <t>30117.88</t>
  </si>
  <si>
    <t>294</t>
  </si>
  <si>
    <t>011403001001</t>
  </si>
  <si>
    <t>1、刮外墙耐水腻子两道，打磨平整（必须为专用外墙柔性腻子）
2、外墙真石漆（水包砂真石漆）涂料（包括底涂料、中涂料，面涂料各一遍），颜色见立面标注
3、超高降效费综合考虑
4、综合考虑按图纸和规范要求而实施、完成这项工程的一切有关费用</t>
  </si>
  <si>
    <t>55.91</t>
  </si>
  <si>
    <t>99052.39</t>
  </si>
  <si>
    <t>外2：涂料（用于货物运输通道\架空区\行车坡道外立面侧结构柱及栏板）</t>
  </si>
  <si>
    <t>119133.17</t>
  </si>
  <si>
    <t>295</t>
  </si>
  <si>
    <t>011201001019</t>
  </si>
  <si>
    <t>996.430</t>
  </si>
  <si>
    <t>46483.46</t>
  </si>
  <si>
    <t>296</t>
  </si>
  <si>
    <t>011201001020</t>
  </si>
  <si>
    <t>16939.31</t>
  </si>
  <si>
    <t>297</t>
  </si>
  <si>
    <t>011403001002</t>
  </si>
  <si>
    <t>55710.40</t>
  </si>
  <si>
    <t>外3、外4：压型钢板外墙</t>
  </si>
  <si>
    <t>2690930.67</t>
  </si>
  <si>
    <t>298</t>
  </si>
  <si>
    <t>011205001004</t>
  </si>
  <si>
    <t>墙、柱面装饰板</t>
  </si>
  <si>
    <t>1、坚铺O.6(基板)厚高强洁面镀铝锌压型彩钢板(颜色见立面图)
2、5O厚离心玻璃棉保温层、柔性不燃材料贴面(综合燃烧等级为A级)
3、超高降效费综合考虑
4、综合考虑按图纸和规范要求而实施、完成这项工程的一切有关费用</t>
  </si>
  <si>
    <t>21522.280</t>
  </si>
  <si>
    <t>125.03</t>
  </si>
  <si>
    <t>挂网及其他</t>
  </si>
  <si>
    <t>68331.09</t>
  </si>
  <si>
    <t>299</t>
  </si>
  <si>
    <t>011201001021</t>
  </si>
  <si>
    <t>外墙面钉（挂）镀锌钢丝网</t>
  </si>
  <si>
    <t>2768.870</t>
  </si>
  <si>
    <t>45160.27</t>
  </si>
  <si>
    <t>300</t>
  </si>
  <si>
    <t>011201001022</t>
  </si>
  <si>
    <t>外墙面挂网抹灰人工增加费</t>
  </si>
  <si>
    <t>4.71</t>
  </si>
  <si>
    <t>13041.38</t>
  </si>
  <si>
    <t>301</t>
  </si>
  <si>
    <t>010903004001</t>
  </si>
  <si>
    <t>墙面分隔缝</t>
  </si>
  <si>
    <t>1、外墙面分隔线25宽,深30mm白色防水胶泥
2、超高降效费综合考虑
3、综合考虑按图纸和规范要求而实施、完成这项工程的一切有关费用</t>
  </si>
  <si>
    <t>461.478</t>
  </si>
  <si>
    <t>21.95</t>
  </si>
  <si>
    <t>10129.44</t>
  </si>
  <si>
    <t>顶1：涂料顶棚1（室内一般顶棚）</t>
  </si>
  <si>
    <t>1331131.44</t>
  </si>
  <si>
    <t>302</t>
  </si>
  <si>
    <t>011403003005</t>
  </si>
  <si>
    <t>素水泥浆一道</t>
  </si>
  <si>
    <t>1、素水泥浆一道（内掺6%建筑胶）
2、超高降效费综合考虑
3、综合考虑按图纸和规范要求而实施、完成这项工程的一切有关费用</t>
  </si>
  <si>
    <t>33699.530</t>
  </si>
  <si>
    <t>1.54</t>
  </si>
  <si>
    <t>51897.28</t>
  </si>
  <si>
    <t>303</t>
  </si>
  <si>
    <t>011403003006</t>
  </si>
  <si>
    <t>刮腻子</t>
  </si>
  <si>
    <t>1、2厚涂料自带专用耐水腻子二遍抹平
2、超高降效费综合考虑
3、综合考虑按图纸和规范要求而实施、完成这项工程的一切有关费用</t>
  </si>
  <si>
    <t>15.51</t>
  </si>
  <si>
    <t>522679.71</t>
  </si>
  <si>
    <t>304</t>
  </si>
  <si>
    <t>011404002001</t>
  </si>
  <si>
    <t>天棚喷刷涂料</t>
  </si>
  <si>
    <t>1、白色内墙无机涂料,底涂料、中涂料，面涂料各一遍
2、超高降效费综合考虑
3、综合考虑按图纸和规范要求而实施、完成这项工程的一切有关费用</t>
  </si>
  <si>
    <t>22.45</t>
  </si>
  <si>
    <t>756554.45</t>
  </si>
  <si>
    <t>顶2：涂料顶棚2（室内防潮顶棚）（用于空调管井\泵房\清洁间）</t>
  </si>
  <si>
    <t>28686.93</t>
  </si>
  <si>
    <t>305</t>
  </si>
  <si>
    <t>011403003007</t>
  </si>
  <si>
    <t>1、素水泥浆一道（内掺建筑胶）
2、超高降效费综合考虑
3、综合考虑按图纸和规范要求而实施、完成这项工程的一切有关费用</t>
  </si>
  <si>
    <t>477.320</t>
  </si>
  <si>
    <t>735.07</t>
  </si>
  <si>
    <t>306</t>
  </si>
  <si>
    <t>010902002002</t>
  </si>
  <si>
    <t>天棚涂膜防水</t>
  </si>
  <si>
    <t>1、1.0厚聚合物水泥防水涂料（Ⅱ型）
2、超高降效费综合考虑
3、综合考虑按图纸和规范要求而实施、完成这项工程的一切有关费用</t>
  </si>
  <si>
    <t>17.30</t>
  </si>
  <si>
    <t>8257.64</t>
  </si>
  <si>
    <t>307</t>
  </si>
  <si>
    <t>011403003008</t>
  </si>
  <si>
    <t>1、2厚面层耐水腻子二遍抹平
2、超高降效费综合考虑
3、综合考虑按图纸和规范要求而实施、完成这项工程的一切有关费用</t>
  </si>
  <si>
    <t>7403.23</t>
  </si>
  <si>
    <t>308</t>
  </si>
  <si>
    <t>011404002002</t>
  </si>
  <si>
    <t>1、白色内墙涂料，底涂料、中涂料，面涂料各一遍（采用带防霉防潮性能内墙涂料）
2、超高降效费综合考虑
3、综合考虑按图纸和规范要求而实施、完成这项工程的一切有关费用</t>
  </si>
  <si>
    <t>25.75</t>
  </si>
  <si>
    <t>12290.99</t>
  </si>
  <si>
    <t>顶3：涂料顶棚3（室外顶棚）（用于货物运输通道\架空区 \行车坡道）</t>
  </si>
  <si>
    <t>1357312.16</t>
  </si>
  <si>
    <t>309</t>
  </si>
  <si>
    <t>011403003009</t>
  </si>
  <si>
    <t>32643.390</t>
  </si>
  <si>
    <t>50270.82</t>
  </si>
  <si>
    <t>310</t>
  </si>
  <si>
    <t>011404002003</t>
  </si>
  <si>
    <t>1、2厚面层耐水腻子二遍抹平
2、白色外墙涂料，底涂料、中涂料，面涂料各一遍
3、超高降效费综合考虑
4、综合考虑按图纸和规范要求而实施、完成这项工程的一切有关费用</t>
  </si>
  <si>
    <t>40.04</t>
  </si>
  <si>
    <t>1307041.34</t>
  </si>
  <si>
    <t>顶6：金属板吊顶（用于吊顶顶棚）</t>
  </si>
  <si>
    <t>（详见装修设计）</t>
  </si>
  <si>
    <t>315552.16</t>
  </si>
  <si>
    <t>311</t>
  </si>
  <si>
    <t>011302001001</t>
  </si>
  <si>
    <t>平面吊顶天棚</t>
  </si>
  <si>
    <t>1、吊顶：（上）配套金属龙骨
2、铝合金方形板为600X600X0.8mm
3、超高降效费综合考虑
4、综合考虑按图纸和规范要求而实施、完成这项工程的一切有关费用</t>
  </si>
  <si>
    <t>1805.460</t>
  </si>
  <si>
    <t>134.26</t>
  </si>
  <si>
    <t>242401.06</t>
  </si>
  <si>
    <t>312</t>
  </si>
  <si>
    <t>011302001002</t>
  </si>
  <si>
    <t>吊顶天棚转换层</t>
  </si>
  <si>
    <t>1、钢骨架吊顶天棚转换层
2、镀锌角钢L50×4.0吊杆，膨胀螺栓固定
3、X向主杆件型号镀锌角钢L63X6.0
4、Y向次杆件型号镀锌角钢L63X4.0
5、另以上工作内容及未提及部分详见相关规范、招标文件及图纸要求</t>
  </si>
  <si>
    <t>10.440</t>
  </si>
  <si>
    <t>7006.81</t>
  </si>
  <si>
    <t>73151.10</t>
  </si>
  <si>
    <t>顶7：吸声板吊顶（用于发电机房、分拣用房房）</t>
  </si>
  <si>
    <t>以发电机房专业为准</t>
  </si>
  <si>
    <t>200079.80</t>
  </si>
  <si>
    <t>313</t>
  </si>
  <si>
    <t>011302001003</t>
  </si>
  <si>
    <t>1、专用吊挂件与楼板采用减震吊钩连接。
2、铝合金配套T型龙骨中间填吸声棉,双向中距600
3、15厚600x600玻璃棉装饰吸声板搁置于龙骨翼缘上
4、超高降效费综合考虑
5、综合考虑按图纸和规范要求而实施、完成这项工程的一切有关费用</t>
  </si>
  <si>
    <t>1339.850</t>
  </si>
  <si>
    <t>149.33</t>
  </si>
  <si>
    <t>314</t>
  </si>
  <si>
    <t>010802004001</t>
  </si>
  <si>
    <t>浅灰色成品钢质甲级防火门 单扇</t>
  </si>
  <si>
    <t>1、浅灰色成品钢质甲级防火门单扇 制安
2、含启闭器、顺序器、观察窗、五金等配件
3、超高降效费综合考虑
4、综合考虑按图纸和规范要求而实施、完成这项工程的一切有关费用</t>
  </si>
  <si>
    <t>184.160</t>
  </si>
  <si>
    <t>342.03</t>
  </si>
  <si>
    <t>62988.24</t>
  </si>
  <si>
    <t>315</t>
  </si>
  <si>
    <t>010802004002</t>
  </si>
  <si>
    <t>浅灰色成品钢质甲级防火门 双扇</t>
  </si>
  <si>
    <t>1、浅灰色成品钢质甲级防火门双扇 制安
2、含启闭器、顺序器、观察窗、五金等配件
3、超高降效费综合考虑
4、综合考虑按图纸和规范要求而实施、完成这项工程的一切有关费用</t>
  </si>
  <si>
    <t>148.600</t>
  </si>
  <si>
    <t>346.44</t>
  </si>
  <si>
    <t>51480.98</t>
  </si>
  <si>
    <t>316</t>
  </si>
  <si>
    <t>010802002001</t>
  </si>
  <si>
    <t>防火卷帘门</t>
  </si>
  <si>
    <t>1、防火卷帘门 制安
2、含电机五金等配件
3、超高降效费综合考虑
4、综合考虑按图纸和规范要求而实施、完成这项工程的一切有关费用</t>
  </si>
  <si>
    <t>108.000</t>
  </si>
  <si>
    <t>424.23</t>
  </si>
  <si>
    <t>45816.84</t>
  </si>
  <si>
    <t>317</t>
  </si>
  <si>
    <t>010802002002</t>
  </si>
  <si>
    <t>钢制平开门</t>
  </si>
  <si>
    <t>1、钢制平开门 制安
2、含五金等配件
3、超高降效费综合考虑
4、综合考虑按图纸和规范要求而实施、完成这项工程的一切有关费用</t>
  </si>
  <si>
    <t>52.360</t>
  </si>
  <si>
    <t>507.07</t>
  </si>
  <si>
    <t>26550.19</t>
  </si>
  <si>
    <t>318</t>
  </si>
  <si>
    <t>010802002003</t>
  </si>
  <si>
    <t>浅灰色夹板门</t>
  </si>
  <si>
    <t>1、浅灰色夹板门
2、含五金等配件
3、超高降效费综合考虑
4、综合考虑按图纸和规范要求而实施、完成这项工程的一切有关费用</t>
  </si>
  <si>
    <t>40.040</t>
  </si>
  <si>
    <t>527.44</t>
  </si>
  <si>
    <t>21118.70</t>
  </si>
  <si>
    <t>319</t>
  </si>
  <si>
    <t>010802002004</t>
  </si>
  <si>
    <t>浅灰色滑升门</t>
  </si>
  <si>
    <t>1、浅灰色滑升门
2、含五金等配件
3、超高降效费综合考虑
4、综合考虑按图纸和规范要求而实施、完成这项工程的一切有关费用</t>
  </si>
  <si>
    <t>1846.000</t>
  </si>
  <si>
    <t>1057.82</t>
  </si>
  <si>
    <t>1952735.72</t>
  </si>
  <si>
    <t>320</t>
  </si>
  <si>
    <t>010802002005</t>
  </si>
  <si>
    <t>铝合金门联窗</t>
  </si>
  <si>
    <t>1、铝合金门联窗 制安
2、110系列粉末喷涂、壁厚2.2mm、6mm厚单层透明钢化玻璃
3、五金配件及其他:含窗锁及配套五金配件等
4、超高降效费综合考虑
5、综合考虑按图纸和规范要求而实施、完成这项工程的一切有关费用</t>
  </si>
  <si>
    <t>257.770</t>
  </si>
  <si>
    <t>507.88</t>
  </si>
  <si>
    <t>130916.23</t>
  </si>
  <si>
    <t>321</t>
  </si>
  <si>
    <t>010807001001</t>
  </si>
  <si>
    <t>铝合金固定窗</t>
  </si>
  <si>
    <t>1、铝合金固定窗 制安
2、70系列粉末喷涂、壁厚1.8mm、6mm厚单层透明钢化玻璃
3、五金配件及其他:含窗锁及配套五金配件等
4、超高降效费综合考虑
5、综合考虑按图纸和规范要求而实施、完成这项工程的一切有关费用</t>
  </si>
  <si>
    <t>327.230</t>
  </si>
  <si>
    <t>450.12</t>
  </si>
  <si>
    <t>147292.77</t>
  </si>
  <si>
    <t>322</t>
  </si>
  <si>
    <t>010807001002</t>
  </si>
  <si>
    <t>铝合金平开窗</t>
  </si>
  <si>
    <t>1、铝合金平开窗 制安
2、70系列粉末喷涂、壁厚1.8mm、6mm厚单层透明钢化玻璃
3、五金配件及其他:含窗锁及配套五金配件等
4、超高降效费综合考虑
5、综合考虑按图纸和规范要求而实施、完成这项工程的一切有关费用</t>
  </si>
  <si>
    <t>13.100</t>
  </si>
  <si>
    <t>643.02</t>
  </si>
  <si>
    <t>8423.56</t>
  </si>
  <si>
    <t>323</t>
  </si>
  <si>
    <t>010807001003</t>
  </si>
  <si>
    <t>铝合金上悬窗</t>
  </si>
  <si>
    <t>1、铝合金上悬窗 制安
2、70系列粉末喷涂、壁厚1.8mm、6mm厚单层透明钢化玻璃
3、五金配件及其他:含窗锁及配套五金配件等
4、超高降效费综合考虑
5、综合考虑按图纸和规范要求而实施、完成这项工程的一切有关费用</t>
  </si>
  <si>
    <t>1274.950</t>
  </si>
  <si>
    <t>587.92</t>
  </si>
  <si>
    <t>749568.60</t>
  </si>
  <si>
    <t>324</t>
  </si>
  <si>
    <t>010807002001</t>
  </si>
  <si>
    <t>金属防火窗</t>
  </si>
  <si>
    <t>1、深灰色铝合金甲级防火窗(蓝灰色玻璃)
2、五金配件及其他:含窗锁及配套五金配件等
3、超高降效费综合考虑
4、综合考虑按图纸和规范要求而实施、完成这项工程的一切有关费用</t>
  </si>
  <si>
    <t>92.570</t>
  </si>
  <si>
    <t>666.73</t>
  </si>
  <si>
    <t>61719.20</t>
  </si>
  <si>
    <t>325</t>
  </si>
  <si>
    <t>010807003001</t>
  </si>
  <si>
    <t>浅灰色铝合金百叶窗</t>
  </si>
  <si>
    <t>1、浅灰色铝合金百叶窗 制安
2、含五金等配件
3、超高降效费综合考虑
4、综合考虑按图纸和规范要求而实施、完成这项工程的一切有关费用</t>
  </si>
  <si>
    <t>101.580</t>
  </si>
  <si>
    <t>355.42</t>
  </si>
  <si>
    <t>36103.56</t>
  </si>
  <si>
    <t>326</t>
  </si>
  <si>
    <t>010807003002</t>
  </si>
  <si>
    <t>防蚊虫纱窗</t>
  </si>
  <si>
    <t>1、不锈钢防蚊虫纱窗 制安
2、超高降效费综合考虑
3、综合考虑按图纸和规范要求而实施、完成这项工程的一切有关费用</t>
  </si>
  <si>
    <t>226.20</t>
  </si>
  <si>
    <t>327</t>
  </si>
  <si>
    <t>010807001004</t>
  </si>
  <si>
    <t>手动开窗器 一拖二</t>
  </si>
  <si>
    <t>1、手动开窗器 一拖二
2、超高降效费综合考虑
3、综合考虑按图纸和规范要求而实施、完成这项工程的一切有关费用</t>
  </si>
  <si>
    <t>28.000</t>
  </si>
  <si>
    <t>257.11</t>
  </si>
  <si>
    <t>7199.08</t>
  </si>
  <si>
    <t>328</t>
  </si>
  <si>
    <t>010807001005</t>
  </si>
  <si>
    <t>手动开窗器 一拖三</t>
  </si>
  <si>
    <t>1、手动开窗器 一拖三
2、超高降效费综合考虑
3、综合考虑按图纸和规范要求而实施、完成这项工程的一切有关费用</t>
  </si>
  <si>
    <t>26.000</t>
  </si>
  <si>
    <t>367.30</t>
  </si>
  <si>
    <t>9549.80</t>
  </si>
  <si>
    <t>329</t>
  </si>
  <si>
    <t>010807001006</t>
  </si>
  <si>
    <t>手动开窗器 一拖四</t>
  </si>
  <si>
    <t>1、手动开窗器 一拖四
2、超高降效费综合考虑
3、综合考虑按图纸和规范要求而实施、完成这项工程的一切有关费用</t>
  </si>
  <si>
    <t>14.000</t>
  </si>
  <si>
    <t>459.12</t>
  </si>
  <si>
    <t>6427.68</t>
  </si>
  <si>
    <t>330</t>
  </si>
  <si>
    <t>010807001007</t>
  </si>
  <si>
    <t>手动开窗器 一拖六</t>
  </si>
  <si>
    <t>1、手动开窗器 一拖六
2、超高降效费综合考虑
3、综合考虑按图纸和规范要求而实施、完成这项工程的一切有关费用</t>
  </si>
  <si>
    <t>30.000</t>
  </si>
  <si>
    <t>734.60</t>
  </si>
  <si>
    <t>22038.00</t>
  </si>
  <si>
    <t>331</t>
  </si>
  <si>
    <t>010807001008</t>
  </si>
  <si>
    <t>手动开窗器 一拖九</t>
  </si>
  <si>
    <t>1、手动开窗器 一拖九
2、超高降效费综合考虑
3、综合考虑按图纸和规范要求而实施、完成这项工程的一切有关费用</t>
  </si>
  <si>
    <t>41.000</t>
  </si>
  <si>
    <t>1010.07</t>
  </si>
  <si>
    <t>41412.87</t>
  </si>
  <si>
    <t>332</t>
  </si>
  <si>
    <t>010807001009</t>
  </si>
  <si>
    <t>屋面采光排烟窗</t>
  </si>
  <si>
    <t>1、屋面采光排烟窗
2、含五金配件、布线费、电箱等
3、系统性能试验等综合考虑、单价中包含二次深化设计等费用
4、建筑物超高增加人工、机械降效率高度30m
5、综合考虑按图纸和规范要求而实施、完成这项工程的一切有关费用</t>
  </si>
  <si>
    <t>462.220</t>
  </si>
  <si>
    <t>969.67</t>
  </si>
  <si>
    <t>448200.87</t>
  </si>
  <si>
    <t>散2：隐藏式混凝土散水</t>
  </si>
  <si>
    <t>19018.75</t>
  </si>
  <si>
    <t>333</t>
  </si>
  <si>
    <t>010102007002</t>
  </si>
  <si>
    <t>1、60厚中砂铺垫
2、素土夯实（密实度≥94%），向外坡3～5%</t>
  </si>
  <si>
    <t>20.602</t>
  </si>
  <si>
    <t>188.29</t>
  </si>
  <si>
    <t>3879.15</t>
  </si>
  <si>
    <t>334</t>
  </si>
  <si>
    <t>010501001018</t>
  </si>
  <si>
    <t>基础垫层</t>
  </si>
  <si>
    <t>1、60厚C15混凝土，面加5厚M20地面砂浆随打随抹光（散水宽度800mm），散水坡与外墙交接处留变形缝，缝宽20mm，防水油膏嵌缝</t>
  </si>
  <si>
    <t>343.360</t>
  </si>
  <si>
    <t>35.00</t>
  </si>
  <si>
    <t>12017.60</t>
  </si>
  <si>
    <t>335</t>
  </si>
  <si>
    <t>010102007003</t>
  </si>
  <si>
    <t>1、200～300厚种植土</t>
  </si>
  <si>
    <t>85.840</t>
  </si>
  <si>
    <t>36.37</t>
  </si>
  <si>
    <t>3122.00</t>
  </si>
  <si>
    <t>坡2：地砖、广场砖、花岗岩坡道（台阶，面层可选）</t>
  </si>
  <si>
    <t>6100.56</t>
  </si>
  <si>
    <t>336</t>
  </si>
  <si>
    <t>011102003011</t>
  </si>
  <si>
    <t>1、10厚地砖面层，横向铺配套防滑条地砖，中距300，水泥砂浆勾缝
2、撒素水泥面,洒适量清水(毛面花岗岩取消本层)
3、20厚1:3干硬性水泥砂浆结合层
4、素水泥浆一道(内掺建筑胶)</t>
  </si>
  <si>
    <t>33.800</t>
  </si>
  <si>
    <t>180.49</t>
  </si>
  <si>
    <t>坡3：水泥砂浆坡道（台阶）</t>
  </si>
  <si>
    <t>2291.19</t>
  </si>
  <si>
    <t>337</t>
  </si>
  <si>
    <t>010501001019</t>
  </si>
  <si>
    <t>1、20厚M20水泥砂浆面层,20厚1:1金刚砂粒水泥防滑条,横向中距200,突出坡道面4
2 、素水泥浆一道(内掺建筑胶)
3、100厚C15混凝土,混凝土与入口地面交接处留变形缝,缝宽20mm,聚氨酯密封胶嵌缝
4、100厚1:6水泥石粉垫层
5、素土夯实,压实系数&gt;94%</t>
  </si>
  <si>
    <t>24.510</t>
  </si>
  <si>
    <t>93.48</t>
  </si>
  <si>
    <t>338</t>
  </si>
  <si>
    <t>011403001003</t>
  </si>
  <si>
    <t>排水管外墙颜色漆</t>
  </si>
  <si>
    <t>1、底漆一遍，面漆二遍
2、超高降效费综合考虑
3、综合考虑按图纸和规范要求而实施、完成这项工程的一切有关费用</t>
  </si>
  <si>
    <t>235.900</t>
  </si>
  <si>
    <t>18.00</t>
  </si>
  <si>
    <t>4246.20</t>
  </si>
  <si>
    <t>339</t>
  </si>
  <si>
    <t>011101001016</t>
  </si>
  <si>
    <t>屋细1.飘板构件</t>
  </si>
  <si>
    <t>1、外墙专用涂料（包括：外墙腻子2道、底涂料、中涂料，面涂料各一遍），颜色见立面标注
2、2.0mm厚聚合物水泥防水涂料（Ⅱ型）
3、最薄处20厚M15水泥防水砂浆找坡（掺5％防水剂）原浆压光，找坡坡向雨水口或外侧
4、超高降效费综合考虑
5、综合考虑按图纸和规范要求而实施、完成这项工程的一切有关费用</t>
  </si>
  <si>
    <t>18.000</t>
  </si>
  <si>
    <t>101.30</t>
  </si>
  <si>
    <t>1823.40</t>
  </si>
  <si>
    <t>340</t>
  </si>
  <si>
    <t>011205001005</t>
  </si>
  <si>
    <t>防火墙与侧墙连接</t>
  </si>
  <si>
    <t>1、12厚纤维增强硅酸钙板背板
2、100mm厚防火岩棉(100kg/m3)
3、12厚纤维增强硅酸钙板面板
4、超高降效费综合考虑
5、综合考虑按图纸和规范要求而实施、完成这项工程的一切有关费用</t>
  </si>
  <si>
    <t>42.000</t>
  </si>
  <si>
    <t>143.90</t>
  </si>
  <si>
    <t>6043.80</t>
  </si>
  <si>
    <t>341</t>
  </si>
  <si>
    <t>010904004001</t>
  </si>
  <si>
    <t>楼面变形缝</t>
  </si>
  <si>
    <t>1、楼面变形缝
2、具体详见14J936、PAD3、大样2
3、超高降效费综合考虑
4、综合考虑按图纸和规范要求而实施、完成这项工程的一切有关费用</t>
  </si>
  <si>
    <t>161.200</t>
  </si>
  <si>
    <t>101.44</t>
  </si>
  <si>
    <t>16352.13</t>
  </si>
  <si>
    <t>342</t>
  </si>
  <si>
    <t>010904004002</t>
  </si>
  <si>
    <t>内墙变形缝</t>
  </si>
  <si>
    <t>1、内墙变形缝
2、具体详见14J936、PAN1、大样3
3、超高降效费综合考虑
4、综合考虑按图纸和规范要求而实施、完成这项工程的一切有关费用</t>
  </si>
  <si>
    <t>91.200</t>
  </si>
  <si>
    <t>85.95</t>
  </si>
  <si>
    <t>7838.64</t>
  </si>
  <si>
    <t>343</t>
  </si>
  <si>
    <t>010904004003</t>
  </si>
  <si>
    <t>顶棚变形缝</t>
  </si>
  <si>
    <t>1、顶棚变形缝
2、具体详见14J936、PAN1、大样4
3、超高降效费综合考虑
4、综合考虑按图纸和规范要求而实施、完成这项工程的一切有关费用</t>
  </si>
  <si>
    <t>81.65</t>
  </si>
  <si>
    <t>13161.98</t>
  </si>
  <si>
    <t>344</t>
  </si>
  <si>
    <t>010903004002</t>
  </si>
  <si>
    <t>外墙变形缝</t>
  </si>
  <si>
    <t>1、夹芯板外墙变形缝
2、具体详见17J925-1、P3-16、大样7
3、超高降效费综合考虑
4、综合考虑按图纸和规范要求而实施、完成这项工程的一切有关费用</t>
  </si>
  <si>
    <t>48.73</t>
  </si>
  <si>
    <t>4444.18</t>
  </si>
  <si>
    <t>345</t>
  </si>
  <si>
    <t>010904004004</t>
  </si>
  <si>
    <t>装卸平台外墙变形缝</t>
  </si>
  <si>
    <t>1、装卸平台变形缝
2、具体详见14J936、PAQ1、大样1
3、超高降效费综合考虑
4、综合考虑按图纸和规范要求而实施、完成这项工程的一切有关费用</t>
  </si>
  <si>
    <t>30.400</t>
  </si>
  <si>
    <t>151.32</t>
  </si>
  <si>
    <t>4600.13</t>
  </si>
  <si>
    <t>346</t>
  </si>
  <si>
    <t>010903004003</t>
  </si>
  <si>
    <t>屋面变形缝</t>
  </si>
  <si>
    <t>1、屋面变形缝
2、具体详见施工图大样2.4mm厚塑钢瓦（0.6mm厚压型镀铝锌钢板覆1.8mmTPO防水卷材）
3、超高降效费综合考虑
4、综合考虑按图纸和规范要求而实施、完成这项工程的一切有关费用</t>
  </si>
  <si>
    <t>35.690</t>
  </si>
  <si>
    <t>79.57</t>
  </si>
  <si>
    <t>2839.85</t>
  </si>
  <si>
    <t>347</t>
  </si>
  <si>
    <t>011503001001</t>
  </si>
  <si>
    <t>楼梯不锈钢栏杆</t>
  </si>
  <si>
    <t>1、不锈钢栏杆 H=900mm 制安
2、栏杆材料：φ60*3不锈钢管立柱，φ60*3不锈钢扶手等
3、具体详见22J403-1、P2-8页、选用B3
4、超高降效费综合考虑
5、综合考虑按图纸和规范要求而实施、完成这项工程的一切有关费用</t>
  </si>
  <si>
    <t>327.350</t>
  </si>
  <si>
    <t>296.96</t>
  </si>
  <si>
    <t>97209.86</t>
  </si>
  <si>
    <t>348</t>
  </si>
  <si>
    <t>011503001002</t>
  </si>
  <si>
    <t>护窗栏杆</t>
  </si>
  <si>
    <t>1、不锈钢栏杆 H=1000mm 制安
2、栏杆材料：φ50*1.5不锈钢管，φ20*1.5@110不锈钢管等
3、具体详见22J403-1、P4-24页、选用HC8
4、超高降效费综合考虑
5、综合考虑按图纸和规范要求而实施、完成这项工程的一切有关费用</t>
  </si>
  <si>
    <t>134.000</t>
  </si>
  <si>
    <t>197.18</t>
  </si>
  <si>
    <t>26422.12</t>
  </si>
  <si>
    <t>349</t>
  </si>
  <si>
    <t>011503001003</t>
  </si>
  <si>
    <t>镀锌钢栏杆</t>
  </si>
  <si>
    <t>1、镀锌钢栏杆深灰色烤漆 H=1100mm 制安
2、栏杆材料：φ60*5钢管立柱，φ65*3钢扶手等
3、具体详见22J403-1、P3-49页、选用PB37
4、超高降效费综合考虑
5、综合考虑按图纸和规范要求而实施、完成这项工程的一切有关费用</t>
  </si>
  <si>
    <t>51.000</t>
  </si>
  <si>
    <t>260.46</t>
  </si>
  <si>
    <t>13283.46</t>
  </si>
  <si>
    <t>350</t>
  </si>
  <si>
    <t>011503001004</t>
  </si>
  <si>
    <t>坡道栏板栏杆</t>
  </si>
  <si>
    <t>1、镀锌钢栏杆橙色烤漆 H=300mm 制安
2、栏杆材料：镀锌钢管立柱6厚，φ100*5不锈钢扶手等
3、超高降效费综合考虑
4、综合考虑按图纸和规范要求而实施、完成这项工程的一切有关费用</t>
  </si>
  <si>
    <t>23.000</t>
  </si>
  <si>
    <t>308.65</t>
  </si>
  <si>
    <t>7098.95</t>
  </si>
  <si>
    <t>351</t>
  </si>
  <si>
    <t>011503001005</t>
  </si>
  <si>
    <t>不锈钢室外栏杆</t>
  </si>
  <si>
    <t>1、不锈钢栏杆 H=1100mm 制安
2、栏杆材料：φ60*5不锈钢钢管立柱，φ65*3不锈钢扶手等
3、具体详见22J403-1、P3-49页、选用PB37
4、超高降效费综合考虑
5、综合考虑按图纸和规范要求而实施、完成这项工程的一切有关费用</t>
  </si>
  <si>
    <t>32.000</t>
  </si>
  <si>
    <t>318.08</t>
  </si>
  <si>
    <t>10178.56</t>
  </si>
  <si>
    <t>352</t>
  </si>
  <si>
    <t>011503001006</t>
  </si>
  <si>
    <t>防撞栏杆</t>
  </si>
  <si>
    <t>1、防撞栏杆 H=1300 制安
2、具体详图纸大样
3、超高降效费综合考虑
4、综合考虑按图纸和规范要求而实施、完成这项工程的一切有关费用</t>
  </si>
  <si>
    <t>24.000</t>
  </si>
  <si>
    <t>229.49</t>
  </si>
  <si>
    <t>5507.76</t>
  </si>
  <si>
    <t>353</t>
  </si>
  <si>
    <t>010607004001</t>
  </si>
  <si>
    <t>室外钢台阶</t>
  </si>
  <si>
    <t>1、室外钢台阶 制安
2、具体详见15J401、PA4页
3、超高降效费综合考虑
4、综合考虑按图纸和规范要求而实施、完成这项工程的一切有关费用</t>
  </si>
  <si>
    <t>1.100</t>
  </si>
  <si>
    <t>6367.42</t>
  </si>
  <si>
    <t>7004.16</t>
  </si>
  <si>
    <t>354</t>
  </si>
  <si>
    <t>011503001007</t>
  </si>
  <si>
    <t>防护栏杆</t>
  </si>
  <si>
    <t>1、钢栏杆 制安
2、具体详见15J401、B33-2页
3、超高降效费综合考虑
4、综合考虑按图纸和规范要求而实施、完成这项工程的一切有关费用</t>
  </si>
  <si>
    <t>0.890</t>
  </si>
  <si>
    <t>6217.69</t>
  </si>
  <si>
    <t>5533.74</t>
  </si>
  <si>
    <t>355</t>
  </si>
  <si>
    <t>011503001008</t>
  </si>
  <si>
    <t>钢栏杆</t>
  </si>
  <si>
    <t>1、钢栏杆 制安
2、具体详见15J401、PA4页
3、超高降效费综合考虑
4、综合考虑按图纸和规范要求而实施、完成这项工程的一切有关费用</t>
  </si>
  <si>
    <t>0.900</t>
  </si>
  <si>
    <t>6217.67</t>
  </si>
  <si>
    <t>5595.90</t>
  </si>
  <si>
    <t>356</t>
  </si>
  <si>
    <t>010607006001</t>
  </si>
  <si>
    <t>钢爬梯</t>
  </si>
  <si>
    <t>1、钢楼梯 爬式
2、具体详见15J401、T5-A25页
3、超高降效费综合考虑
4、综合考虑按图纸和规范要求而实施、完成这项工程的一切有关费用</t>
  </si>
  <si>
    <t>0.860</t>
  </si>
  <si>
    <t>6481.78</t>
  </si>
  <si>
    <t>5574.33</t>
  </si>
  <si>
    <t>357</t>
  </si>
  <si>
    <t>011506003002</t>
  </si>
  <si>
    <t>防撞柱</t>
  </si>
  <si>
    <t>1、防撞柱 H=1200
2、φ120x3.5镀锌钢管 外涂黄黑相间警示油漆
3、内注C15细石混凝土、200PVC管切面50mm高、C15细石混凝土灌注密实、PVC管面刷漆
4、具体详图纸大样
5、超高降效费综合考虑
6、综合考虑按图纸和规范要求而实施、完成这项工程的一切有关费用</t>
  </si>
  <si>
    <t>45.000</t>
  </si>
  <si>
    <t>230.91</t>
  </si>
  <si>
    <t>10390.95</t>
  </si>
  <si>
    <t>358</t>
  </si>
  <si>
    <t>011506003003</t>
  </si>
  <si>
    <t>1、防撞柱 H=600
2、φ120x3.5镀锌钢管 外涂黄黑相间警示油漆
3、内注C15细石混凝土、200PVC管切面50mm高、C15细石混凝土灌注密实、PVC管面刷漆
4、具体详图纸大样
5、超高降效费综合考虑
6、综合考虑按图纸和规范要求而实施、完成这项工程的一切有关费用</t>
  </si>
  <si>
    <t>65.000</t>
  </si>
  <si>
    <t>184.99</t>
  </si>
  <si>
    <t>12024.35</t>
  </si>
  <si>
    <t>359</t>
  </si>
  <si>
    <t>011503001009</t>
  </si>
  <si>
    <t>货物运输通道排水沟盖板</t>
  </si>
  <si>
    <t>1、50厚重型热镀锌钢格栅盖板（深灰色烤漆）含不锈钢防虫过滤网
2、超高降效费综合考虑
3、综合考虑按图纸和规范要求而实施、完成这项工程的一切有关费用</t>
  </si>
  <si>
    <t>141.950</t>
  </si>
  <si>
    <t>505.04</t>
  </si>
  <si>
    <t>71690.43</t>
  </si>
  <si>
    <t>360</t>
  </si>
  <si>
    <t>011101001017</t>
  </si>
  <si>
    <t>货物运输通道排水沟内饰面</t>
  </si>
  <si>
    <t>1、沟壁及沟底25厚1:2水泥防水砂浆（掺5%防水剂》粉面，沟
底纵坡O.5%，坡向地漏
2、沟壁及沟底金砂王基础处理剂加固优化基础体晾干8小时以上
3、沟壁及沟底滚涂第一遍0.5m厚专用外露涂料聚凝珪同时铺贴
加强层塑纤布晾干
4、沟壁及沟底滚涂第二遍0.5mm厚专用外露涂料聚凝珪晾干
5、：沟壁及沟底滚涂第三遍0.5mm厚专用外露涂料聚凝珪晾干
6、超高降效费综合考虑
7、综合考虑按图纸和规范要求而实施、完成这项工程的一切有关费用</t>
  </si>
  <si>
    <t>99.09</t>
  </si>
  <si>
    <t>14065.83</t>
  </si>
  <si>
    <t>361</t>
  </si>
  <si>
    <t>010809001001</t>
  </si>
  <si>
    <t>窗台板</t>
  </si>
  <si>
    <t>1、瓷砖胶粘贴20mm厚深灰色大理石
2、超高降效费综合考虑
3、综合考虑按图纸和规范要求而实施、完成这项工程的一切有关费用</t>
  </si>
  <si>
    <t>405.77</t>
  </si>
  <si>
    <t>4869.24</t>
  </si>
  <si>
    <t>362</t>
  </si>
  <si>
    <t>011505001001</t>
  </si>
  <si>
    <t>洗漱台</t>
  </si>
  <si>
    <t>1、20mm浅灰色大理石
2、L50×3mm镀锌角钢架
3、超高降效费综合考虑
4、综合考虑按图纸和规范要求而实施、完成这项工程的一切有关费用</t>
  </si>
  <si>
    <t>6.000</t>
  </si>
  <si>
    <t>629.15</t>
  </si>
  <si>
    <t>3774.90</t>
  </si>
  <si>
    <t>363</t>
  </si>
  <si>
    <t>011505003001</t>
  </si>
  <si>
    <t>洗手台镜子</t>
  </si>
  <si>
    <t>1、6mm厚防雾银镜
2、超高降效费综合考虑
3、综合考虑按图纸和规范要求而实施、完成这项工程的一切有关费用</t>
  </si>
  <si>
    <t>8.360</t>
  </si>
  <si>
    <t>270.59</t>
  </si>
  <si>
    <t>2262.13</t>
  </si>
  <si>
    <t>364</t>
  </si>
  <si>
    <t>011207003001</t>
  </si>
  <si>
    <t>卫生间隔断</t>
  </si>
  <si>
    <t>1、18mm抗倍特板成品隔断
2、超高降效费综合考虑
3、综合考虑按图纸和规范要求而实施、完成这项工程的一切有关费用</t>
  </si>
  <si>
    <t>85.000</t>
  </si>
  <si>
    <t>285.45</t>
  </si>
  <si>
    <t>24263.25</t>
  </si>
  <si>
    <t>合    计</t>
  </si>
  <si>
    <t>工作内容</t>
  </si>
  <si>
    <t>价格(元)</t>
  </si>
  <si>
    <t>备注</t>
  </si>
  <si>
    <t>011601001002</t>
  </si>
  <si>
    <t>脚手架</t>
  </si>
  <si>
    <t>2732436.91</t>
  </si>
  <si>
    <t>011601002002</t>
  </si>
  <si>
    <t>垂直运输</t>
  </si>
  <si>
    <t>2004582.91</t>
  </si>
  <si>
    <t>011601003002</t>
  </si>
  <si>
    <t>其他大型机械进出场及安拆</t>
  </si>
  <si>
    <t>73861.18</t>
  </si>
  <si>
    <t>011601004002</t>
  </si>
  <si>
    <t>施工排水</t>
  </si>
  <si>
    <t>011601005002</t>
  </si>
  <si>
    <t>施工降水</t>
  </si>
  <si>
    <t>011601006002</t>
  </si>
  <si>
    <t>临时设施</t>
  </si>
  <si>
    <t>1217287.27</t>
  </si>
  <si>
    <t>011601007002</t>
  </si>
  <si>
    <t>文明施工</t>
  </si>
  <si>
    <t>1030012.30</t>
  </si>
  <si>
    <t>011601008002</t>
  </si>
  <si>
    <t>环境保护</t>
  </si>
  <si>
    <t>936374.82</t>
  </si>
  <si>
    <t>011601009002</t>
  </si>
  <si>
    <t>安全生产</t>
  </si>
  <si>
    <t>最高投标限价:3114634.81 元</t>
  </si>
  <si>
    <t>011601010002</t>
  </si>
  <si>
    <t>冬雨季施工增加</t>
  </si>
  <si>
    <t>011601011002</t>
  </si>
  <si>
    <t>夜间施工措施费</t>
  </si>
  <si>
    <t>011601012002</t>
  </si>
  <si>
    <t>特殊地区施工增加</t>
  </si>
  <si>
    <t>011601013002</t>
  </si>
  <si>
    <t>二次搬运</t>
  </si>
  <si>
    <t>011601014002</t>
  </si>
  <si>
    <t>已完工程及设备保护</t>
  </si>
  <si>
    <t>011601015002</t>
  </si>
  <si>
    <t>既有建(构)筑物、设施保护</t>
  </si>
  <si>
    <t>BC001003</t>
  </si>
  <si>
    <t>文明工地措施费</t>
  </si>
  <si>
    <t>省级文明工地按2.10%计算；市级文明工地按1.20%计算</t>
  </si>
  <si>
    <t>BC003002</t>
  </si>
  <si>
    <t>洞内、地下室内、库内或暗室内(需要照明)进行施工措施费</t>
  </si>
  <si>
    <t>BC006003</t>
  </si>
  <si>
    <t>施工现场围挡和临时占地围挡</t>
  </si>
  <si>
    <t>BC007003</t>
  </si>
  <si>
    <t>施工围档照明</t>
  </si>
  <si>
    <t>BC008002</t>
  </si>
  <si>
    <t>临时钢管架通道</t>
  </si>
  <si>
    <t>BC009002</t>
  </si>
  <si>
    <t>样板引路</t>
  </si>
  <si>
    <t>BC010002</t>
  </si>
  <si>
    <t>地上、地下设施、建筑物的临时保护设施</t>
  </si>
  <si>
    <t>BC016002</t>
  </si>
  <si>
    <t>靠脚手架安全板</t>
  </si>
  <si>
    <t>BC017002</t>
  </si>
  <si>
    <t>围尼龙编织布</t>
  </si>
  <si>
    <t>BC018002</t>
  </si>
  <si>
    <t>防尘降噪绿色施工防护棚</t>
  </si>
  <si>
    <t>BC019002</t>
  </si>
  <si>
    <t>施工便道</t>
  </si>
  <si>
    <t>-</t>
  </si>
  <si>
    <t>其他项目清单计价表</t>
  </si>
  <si>
    <t>工程名称:</t>
  </si>
  <si>
    <t>1#2#仓库土建装饰工程</t>
  </si>
  <si>
    <t>标段：</t>
  </si>
  <si>
    <t>第1页, 共1页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</si>
  <si>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</si>
  <si>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</si>
  <si>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</si>
  <si>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</si>
  <si>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</si>
  <si>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</t>
  </si>
  <si>
    <t>计日工</t>
  </si>
  <si>
    <t>总承包服务费</t>
  </si>
  <si>
    <t>预算包干费</t>
  </si>
  <si>
    <t>按分部分项的人工费与施工机具费之和的7.00%计算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</si>
  <si>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</si>
  <si>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</si>
  <si>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</si>
  <si>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</si>
  <si>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计算基础</t>
  </si>
  <si>
    <t>费率(%)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</si>
  <si>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</si>
  <si>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</si>
  <si>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</si>
  <si>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</si>
  <si>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</si>
  <si>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</si>
  <si>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</si>
  <si>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</si>
  <si>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本页小计</t>
  </si>
  <si>
    <t>—</t>
  </si>
  <si>
    <t>注：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</si>
  <si>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</si>
  <si>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增值税计价表</t>
  </si>
  <si>
    <t>计算基础说明</t>
  </si>
  <si>
    <t>税率(%)</t>
  </si>
  <si>
    <t>税前工程造价-专业工程暂估价</t>
  </si>
  <si>
    <t>106376444.230</t>
  </si>
  <si>
    <t>9.00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</si>
</sst>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6">
    <font>
      <sz val="9"/>
      <name val="SimSun"/>
      <charset val="134"/>
    </font>
    <font>
      <b/>
      <sz val="2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top" wrapText="1"/>
    </xf>
    <xf numFmtId="1" fontId="3" fillId="2" borderId="1" xfId="0" applyNumberFormat="1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A1" sqref="A1:C1"/>
    </sheetView>
  </sheetViews>
  <sheetFormatPr defaultColWidth="9" defaultRowHeight="11.25" outlineLevelCol="7"/>
  <cols>
    <col min="1" max="1" width="4.97777777777778" customWidth="1"/>
    <col min="2" max="2" width="6.83333333333333" customWidth="1"/>
    <col min="3" max="3" width="4.25555555555556" customWidth="1"/>
    <col min="4" max="4" width="36.4333333333333" customWidth="1"/>
    <col min="5" max="5" width="9.26666666666667" customWidth="1"/>
    <col min="6" max="6" width="20.7" customWidth="1"/>
    <col min="7" max="7" width="4.25555555555556" customWidth="1"/>
    <col min="8" max="8" width="24.4" customWidth="1"/>
  </cols>
  <sheetData>
    <row r="1" ht="23" customHeight="1" spans="1:8">
      <c r="A1" s="5" t="s">
        <v>0</v>
      </c>
      <c r="B1" s="5"/>
      <c r="C1" s="5"/>
      <c r="D1" s="5" t="s">
        <v>1</v>
      </c>
      <c r="E1" s="5"/>
      <c r="F1" s="5"/>
      <c r="G1" s="5" t="s">
        <v>2</v>
      </c>
      <c r="H1" s="5"/>
    </row>
    <row r="2" ht="23" customHeight="1" spans="1:8">
      <c r="A2" s="6" t="s">
        <v>3</v>
      </c>
      <c r="B2" s="6"/>
      <c r="C2" s="6"/>
      <c r="D2" s="7" t="s">
        <v>4</v>
      </c>
      <c r="E2" s="7"/>
      <c r="F2" s="7"/>
      <c r="G2" s="10" t="s">
        <v>5</v>
      </c>
      <c r="H2" s="10"/>
    </row>
    <row r="3" ht="23" customHeight="1" spans="1:8">
      <c r="A3" s="6" t="s">
        <v>6</v>
      </c>
      <c r="B3" s="6"/>
      <c r="C3" s="6"/>
      <c r="D3" s="7" t="s">
        <v>7</v>
      </c>
      <c r="E3" s="7"/>
      <c r="F3" s="7"/>
      <c r="G3" s="10" t="s">
        <v>8</v>
      </c>
      <c r="H3" s="10"/>
    </row>
    <row r="4" ht="23" customHeight="1" spans="1:8">
      <c r="A4" s="6" t="s">
        <v>9</v>
      </c>
      <c r="B4" s="6"/>
      <c r="C4" s="6"/>
      <c r="D4" s="7" t="s">
        <v>10</v>
      </c>
      <c r="E4" s="7"/>
      <c r="F4" s="7"/>
      <c r="G4" s="10" t="s">
        <v>11</v>
      </c>
      <c r="H4" s="10"/>
    </row>
    <row r="5" ht="23" customHeight="1" spans="1:8">
      <c r="A5" s="6" t="s">
        <v>12</v>
      </c>
      <c r="B5" s="6"/>
      <c r="C5" s="6"/>
      <c r="D5" s="7" t="s">
        <v>13</v>
      </c>
      <c r="E5" s="7"/>
      <c r="F5" s="7"/>
      <c r="G5" s="10" t="s">
        <v>14</v>
      </c>
      <c r="H5" s="10"/>
    </row>
    <row r="6" ht="23" customHeight="1" spans="1:8">
      <c r="A6" s="6" t="s">
        <v>15</v>
      </c>
      <c r="B6" s="6"/>
      <c r="C6" s="6"/>
      <c r="D6" s="7" t="s">
        <v>16</v>
      </c>
      <c r="E6" s="7"/>
      <c r="F6" s="7"/>
      <c r="G6" s="10" t="s">
        <v>17</v>
      </c>
      <c r="H6" s="10"/>
    </row>
    <row r="7" ht="23" customHeight="1" spans="1:8">
      <c r="A7" s="6" t="s">
        <v>18</v>
      </c>
      <c r="B7" s="6"/>
      <c r="C7" s="6"/>
      <c r="D7" s="7" t="s">
        <v>19</v>
      </c>
      <c r="E7" s="7"/>
      <c r="F7" s="7"/>
      <c r="G7" s="10" t="s">
        <v>20</v>
      </c>
      <c r="H7" s="10"/>
    </row>
    <row r="8" ht="23" customHeight="1" spans="1:8">
      <c r="A8" s="6" t="s">
        <v>21</v>
      </c>
      <c r="B8" s="6"/>
      <c r="C8" s="6"/>
      <c r="D8" s="7" t="s">
        <v>22</v>
      </c>
      <c r="E8" s="7"/>
      <c r="F8" s="7"/>
      <c r="G8" s="10" t="s">
        <v>23</v>
      </c>
      <c r="H8" s="10"/>
    </row>
    <row r="9" ht="23" customHeight="1" spans="1:8">
      <c r="A9" s="6" t="s">
        <v>24</v>
      </c>
      <c r="B9" s="6"/>
      <c r="C9" s="6"/>
      <c r="D9" s="7" t="s">
        <v>25</v>
      </c>
      <c r="E9" s="7"/>
      <c r="F9" s="7"/>
      <c r="G9" s="10" t="s">
        <v>26</v>
      </c>
      <c r="H9" s="10"/>
    </row>
    <row r="10" ht="23" customHeight="1" spans="1:8">
      <c r="A10" s="6" t="s">
        <v>27</v>
      </c>
      <c r="B10" s="6"/>
      <c r="C10" s="6"/>
      <c r="D10" s="7" t="s">
        <v>28</v>
      </c>
      <c r="E10" s="7"/>
      <c r="F10" s="7"/>
      <c r="G10" s="10" t="s">
        <v>29</v>
      </c>
      <c r="H10" s="10"/>
    </row>
    <row r="11" ht="23" customHeight="1" spans="1:8">
      <c r="A11" s="6" t="s">
        <v>30</v>
      </c>
      <c r="B11" s="6"/>
      <c r="C11" s="6"/>
      <c r="D11" s="7" t="s">
        <v>31</v>
      </c>
      <c r="E11" s="7"/>
      <c r="F11" s="7"/>
      <c r="G11" s="10" t="s">
        <v>32</v>
      </c>
      <c r="H11" s="10"/>
    </row>
    <row r="12" ht="23" customHeight="1" spans="1:8">
      <c r="A12" s="6" t="s">
        <v>33</v>
      </c>
      <c r="B12" s="6"/>
      <c r="C12" s="6"/>
      <c r="D12" s="7" t="s">
        <v>34</v>
      </c>
      <c r="E12" s="7"/>
      <c r="F12" s="7"/>
      <c r="G12" s="10" t="s">
        <v>35</v>
      </c>
      <c r="H12" s="10"/>
    </row>
    <row r="13" ht="23" customHeight="1" spans="1:8">
      <c r="A13" s="6" t="s">
        <v>36</v>
      </c>
      <c r="B13" s="6"/>
      <c r="C13" s="6"/>
      <c r="D13" s="7" t="s">
        <v>37</v>
      </c>
      <c r="E13" s="7"/>
      <c r="F13" s="7"/>
      <c r="G13" s="10" t="s">
        <v>38</v>
      </c>
      <c r="H13" s="10"/>
    </row>
    <row r="14" ht="23" customHeight="1" spans="1:8">
      <c r="A14" s="6" t="s">
        <v>39</v>
      </c>
      <c r="B14" s="6"/>
      <c r="C14" s="6"/>
      <c r="D14" s="7" t="s">
        <v>40</v>
      </c>
      <c r="E14" s="7"/>
      <c r="F14" s="7"/>
      <c r="G14" s="10" t="s">
        <v>41</v>
      </c>
      <c r="H14" s="10"/>
    </row>
    <row r="15" ht="23" customHeight="1" spans="1:8">
      <c r="A15" s="6" t="s">
        <v>42</v>
      </c>
      <c r="B15" s="6"/>
      <c r="C15" s="6"/>
      <c r="D15" s="7" t="s">
        <v>43</v>
      </c>
      <c r="E15" s="7"/>
      <c r="F15" s="7"/>
      <c r="G15" s="10" t="s">
        <v>44</v>
      </c>
      <c r="H15" s="10"/>
    </row>
    <row r="16" ht="23" customHeight="1" spans="1:8">
      <c r="A16" s="6" t="s">
        <v>45</v>
      </c>
      <c r="B16" s="6"/>
      <c r="C16" s="6"/>
      <c r="D16" s="7" t="s">
        <v>46</v>
      </c>
      <c r="E16" s="7"/>
      <c r="F16" s="7"/>
      <c r="G16" s="10" t="s">
        <v>47</v>
      </c>
      <c r="H16" s="10"/>
    </row>
    <row r="17" ht="23" customHeight="1" spans="1:8">
      <c r="A17" s="6" t="s">
        <v>48</v>
      </c>
      <c r="B17" s="6"/>
      <c r="C17" s="6"/>
      <c r="D17" s="7" t="s">
        <v>49</v>
      </c>
      <c r="E17" s="7"/>
      <c r="F17" s="7"/>
      <c r="G17" s="10" t="s">
        <v>50</v>
      </c>
      <c r="H17" s="10"/>
    </row>
    <row r="18" ht="23" customHeight="1" spans="1:8">
      <c r="A18" s="6" t="s">
        <v>51</v>
      </c>
      <c r="B18" s="6"/>
      <c r="C18" s="6"/>
      <c r="D18" s="7" t="s">
        <v>52</v>
      </c>
      <c r="E18" s="7"/>
      <c r="F18" s="7"/>
      <c r="G18" s="10" t="s">
        <v>53</v>
      </c>
      <c r="H18" s="10"/>
    </row>
    <row r="19" ht="23" customHeight="1" spans="1:8">
      <c r="A19" s="6" t="s">
        <v>54</v>
      </c>
      <c r="B19" s="6"/>
      <c r="C19" s="6"/>
      <c r="D19" s="7" t="s">
        <v>55</v>
      </c>
      <c r="E19" s="7"/>
      <c r="F19" s="7"/>
      <c r="G19" s="10" t="s">
        <v>53</v>
      </c>
      <c r="H19" s="10"/>
    </row>
    <row r="20" ht="23" customHeight="1" spans="1:8">
      <c r="A20" s="6" t="s">
        <v>56</v>
      </c>
      <c r="B20" s="6"/>
      <c r="C20" s="6"/>
      <c r="D20" s="7" t="s">
        <v>57</v>
      </c>
      <c r="E20" s="7"/>
      <c r="F20" s="7"/>
      <c r="G20" s="10" t="s">
        <v>53</v>
      </c>
      <c r="H20" s="10"/>
    </row>
    <row r="21" ht="23" customHeight="1" spans="1:8">
      <c r="A21" s="6" t="s">
        <v>58</v>
      </c>
      <c r="B21" s="6"/>
      <c r="C21" s="6"/>
      <c r="D21" s="7" t="s">
        <v>59</v>
      </c>
      <c r="E21" s="7"/>
      <c r="F21" s="7"/>
      <c r="G21" s="10" t="s">
        <v>53</v>
      </c>
      <c r="H21" s="10"/>
    </row>
    <row r="22" ht="23" customHeight="1" spans="1:8">
      <c r="A22" s="6" t="s">
        <v>60</v>
      </c>
      <c r="B22" s="6"/>
      <c r="C22" s="6"/>
      <c r="D22" s="7" t="s">
        <v>61</v>
      </c>
      <c r="E22" s="7"/>
      <c r="F22" s="7"/>
      <c r="G22" s="10" t="s">
        <v>53</v>
      </c>
      <c r="H22" s="10"/>
    </row>
    <row r="23" ht="23" customHeight="1" spans="1:8">
      <c r="A23" s="6" t="s">
        <v>62</v>
      </c>
      <c r="B23" s="6"/>
      <c r="C23" s="6"/>
      <c r="D23" s="7" t="s">
        <v>63</v>
      </c>
      <c r="E23" s="7"/>
      <c r="F23" s="7"/>
      <c r="G23" s="10" t="s">
        <v>64</v>
      </c>
      <c r="H23" s="10"/>
    </row>
    <row r="24" ht="23" customHeight="1" spans="1:8">
      <c r="A24" s="6" t="s">
        <v>65</v>
      </c>
      <c r="B24" s="6"/>
      <c r="C24" s="6"/>
      <c r="D24" s="7" t="s">
        <v>66</v>
      </c>
      <c r="E24" s="7"/>
      <c r="F24" s="7"/>
      <c r="G24" s="10" t="s">
        <v>67</v>
      </c>
      <c r="H24" s="10"/>
    </row>
    <row r="25" ht="23" customHeight="1" spans="1:8">
      <c r="A25" s="6" t="s">
        <v>68</v>
      </c>
      <c r="B25" s="6"/>
      <c r="C25" s="6"/>
      <c r="D25" s="6"/>
      <c r="E25" s="6"/>
      <c r="F25" s="6"/>
      <c r="G25" s="10" t="s">
        <v>69</v>
      </c>
      <c r="H25" s="10"/>
    </row>
  </sheetData>
  <mergeCells count="74">
    <mergeCell ref="A1:C1"/>
    <mergeCell ref="D1:F1"/>
    <mergeCell ref="G1:H1"/>
    <mergeCell ref="A2:C2"/>
    <mergeCell ref="D2:F2"/>
    <mergeCell ref="G2:H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C20"/>
    <mergeCell ref="D20:F20"/>
    <mergeCell ref="G20:H20"/>
    <mergeCell ref="A21:C21"/>
    <mergeCell ref="D21:F21"/>
    <mergeCell ref="G21:H21"/>
    <mergeCell ref="A22:C22"/>
    <mergeCell ref="D22:F22"/>
    <mergeCell ref="G22:H22"/>
    <mergeCell ref="A23:C23"/>
    <mergeCell ref="D23:F23"/>
    <mergeCell ref="G23:H23"/>
    <mergeCell ref="A24:C24"/>
    <mergeCell ref="D24:F24"/>
    <mergeCell ref="G24:H24"/>
    <mergeCell ref="A25:F25"/>
    <mergeCell ref="G25:H25"/>
  </mergeCells>
  <printOptions horizontalCentered="1"/>
  <pageMargins left="0.51968541666667" right="0.51968541666667" top="0.74803125" bottom="0" header="0" footer="0"/>
  <pageSetup paperSize="9" orientation="portrait"/>
  <headerFooter>
    <oddHeader>&amp;L 
&amp;"宋体,加粗"&amp;10 工程名称: &amp;"宋体,加粗"&amp;10 1#2#仓库土建装饰工程 &amp;C &amp;"宋体,加粗"&amp;20 工程项目清单汇总表
 &amp;"宋体,加粗"&amp;10 标段： &amp;"宋体,加粗"&amp;10  &amp;R 
&amp;"宋体,加粗"&amp;10 第&amp;P页, 共&amp;N页</oddHeader>
    <oddFooter>&amp;R &amp;"宋体,常规"&amp;9 注：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55"/>
  <sheetViews>
    <sheetView tabSelected="1" workbookViewId="0">
      <selection activeCell="T19" sqref="T19"/>
    </sheetView>
  </sheetViews>
  <sheetFormatPr defaultColWidth="9" defaultRowHeight="11.25"/>
  <cols>
    <col min="1" max="1" width="7.11111111111111" customWidth="1"/>
    <col min="2" max="2" width="4.68888888888889" customWidth="1"/>
    <col min="3" max="3" width="11.2666666666667" customWidth="1"/>
    <col min="4" max="4" width="19.9222222222222" customWidth="1"/>
    <col min="5" max="5" width="9.68888888888889" customWidth="1"/>
    <col min="6" max="6" width="9.26666666666667" customWidth="1"/>
    <col min="7" max="7" width="28.3333333333333" customWidth="1"/>
    <col min="8" max="8" width="5.83333333333333" customWidth="1"/>
    <col min="9" max="9" width="11.2555555555556" customWidth="1"/>
    <col min="10" max="10" width="2.54444444444444" customWidth="1"/>
    <col min="11" max="11" width="8.54444444444444" customWidth="1"/>
    <col min="12" max="12" width="15.7777777777778" customWidth="1"/>
    <col min="19" max="19" width="15.1666666666667"/>
  </cols>
  <sheetData>
    <row r="1" ht="23" customHeight="1" spans="1:12">
      <c r="A1" s="5" t="s">
        <v>0</v>
      </c>
      <c r="B1" s="5" t="s">
        <v>70</v>
      </c>
      <c r="C1" s="5"/>
      <c r="D1" s="5" t="s">
        <v>71</v>
      </c>
      <c r="E1" s="5" t="s">
        <v>72</v>
      </c>
      <c r="F1" s="5"/>
      <c r="G1" s="5"/>
      <c r="H1" s="5" t="s">
        <v>73</v>
      </c>
      <c r="I1" s="5" t="s">
        <v>74</v>
      </c>
      <c r="J1" s="5" t="s">
        <v>2</v>
      </c>
      <c r="K1" s="5"/>
      <c r="L1" s="5"/>
    </row>
    <row r="2" ht="12" customHeight="1" spans="1:12">
      <c r="A2" s="5"/>
      <c r="B2" s="5"/>
      <c r="C2" s="5"/>
      <c r="D2" s="5"/>
      <c r="E2" s="5"/>
      <c r="F2" s="5"/>
      <c r="G2" s="5"/>
      <c r="H2" s="5"/>
      <c r="I2" s="5"/>
      <c r="J2" s="5" t="s">
        <v>75</v>
      </c>
      <c r="K2" s="5"/>
      <c r="L2" s="5" t="s">
        <v>76</v>
      </c>
    </row>
    <row r="3" ht="12" customHeight="1" spans="1:1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23" customHeight="1" spans="1:12">
      <c r="A4" s="6" t="s">
        <v>53</v>
      </c>
      <c r="B4" s="7" t="s">
        <v>53</v>
      </c>
      <c r="C4" s="7"/>
      <c r="D4" s="7" t="s">
        <v>7</v>
      </c>
      <c r="E4" s="7" t="s">
        <v>53</v>
      </c>
      <c r="F4" s="7"/>
      <c r="G4" s="7"/>
      <c r="H4" s="6" t="s">
        <v>53</v>
      </c>
      <c r="I4" s="15" t="s">
        <v>53</v>
      </c>
      <c r="J4" s="10" t="s">
        <v>53</v>
      </c>
      <c r="K4" s="10"/>
      <c r="L4" s="10" t="s">
        <v>8</v>
      </c>
    </row>
    <row r="5" ht="139" customHeight="1" spans="1:12">
      <c r="A5" s="6" t="s">
        <v>3</v>
      </c>
      <c r="B5" s="7" t="s">
        <v>77</v>
      </c>
      <c r="C5" s="7"/>
      <c r="D5" s="7" t="s">
        <v>78</v>
      </c>
      <c r="E5" s="7" t="s">
        <v>79</v>
      </c>
      <c r="F5" s="7"/>
      <c r="G5" s="7"/>
      <c r="H5" s="6" t="s">
        <v>80</v>
      </c>
      <c r="I5" s="9" t="s">
        <v>81</v>
      </c>
      <c r="J5" s="10" t="s">
        <v>82</v>
      </c>
      <c r="K5" s="10"/>
      <c r="L5" s="10" t="s">
        <v>83</v>
      </c>
    </row>
    <row r="6" ht="139" customHeight="1" spans="1:12">
      <c r="A6" s="6" t="s">
        <v>42</v>
      </c>
      <c r="B6" s="7" t="s">
        <v>84</v>
      </c>
      <c r="C6" s="7"/>
      <c r="D6" s="7" t="s">
        <v>85</v>
      </c>
      <c r="E6" s="7" t="s">
        <v>79</v>
      </c>
      <c r="F6" s="7"/>
      <c r="G6" s="7"/>
      <c r="H6" s="6" t="s">
        <v>80</v>
      </c>
      <c r="I6" s="9" t="s">
        <v>81</v>
      </c>
      <c r="J6" s="10" t="s">
        <v>86</v>
      </c>
      <c r="K6" s="10"/>
      <c r="L6" s="10" t="s">
        <v>87</v>
      </c>
    </row>
    <row r="7" ht="139" customHeight="1" spans="1:12">
      <c r="A7" s="6" t="s">
        <v>48</v>
      </c>
      <c r="B7" s="7" t="s">
        <v>88</v>
      </c>
      <c r="C7" s="7"/>
      <c r="D7" s="7" t="s">
        <v>89</v>
      </c>
      <c r="E7" s="7" t="s">
        <v>79</v>
      </c>
      <c r="F7" s="7"/>
      <c r="G7" s="7"/>
      <c r="H7" s="6" t="s">
        <v>80</v>
      </c>
      <c r="I7" s="9" t="s">
        <v>90</v>
      </c>
      <c r="J7" s="10" t="s">
        <v>91</v>
      </c>
      <c r="K7" s="10"/>
      <c r="L7" s="10" t="s">
        <v>92</v>
      </c>
    </row>
    <row r="8" ht="169" customHeight="1" spans="1:12">
      <c r="A8" s="6" t="s">
        <v>62</v>
      </c>
      <c r="B8" s="7" t="s">
        <v>93</v>
      </c>
      <c r="C8" s="7"/>
      <c r="D8" s="7" t="s">
        <v>94</v>
      </c>
      <c r="E8" s="7" t="s">
        <v>95</v>
      </c>
      <c r="F8" s="7"/>
      <c r="G8" s="7"/>
      <c r="H8" s="6" t="s">
        <v>80</v>
      </c>
      <c r="I8" s="9" t="s">
        <v>96</v>
      </c>
      <c r="J8" s="10" t="s">
        <v>97</v>
      </c>
      <c r="K8" s="10"/>
      <c r="L8" s="10" t="s">
        <v>98</v>
      </c>
    </row>
    <row r="9" ht="23" customHeight="1" spans="1:12">
      <c r="A9" s="6" t="s">
        <v>65</v>
      </c>
      <c r="B9" s="7" t="s">
        <v>99</v>
      </c>
      <c r="C9" s="7"/>
      <c r="D9" s="7" t="s">
        <v>100</v>
      </c>
      <c r="E9" s="7" t="s">
        <v>101</v>
      </c>
      <c r="F9" s="7"/>
      <c r="G9" s="7"/>
      <c r="H9" s="6" t="s">
        <v>80</v>
      </c>
      <c r="I9" s="9" t="s">
        <v>102</v>
      </c>
      <c r="J9" s="10" t="s">
        <v>103</v>
      </c>
      <c r="K9" s="10"/>
      <c r="L9" s="10" t="s">
        <v>104</v>
      </c>
    </row>
    <row r="10" ht="23" customHeight="1" spans="1:12">
      <c r="A10" s="6" t="s">
        <v>53</v>
      </c>
      <c r="B10" s="7" t="s">
        <v>53</v>
      </c>
      <c r="C10" s="7"/>
      <c r="D10" s="7" t="s">
        <v>10</v>
      </c>
      <c r="E10" s="7" t="s">
        <v>53</v>
      </c>
      <c r="F10" s="7"/>
      <c r="G10" s="7"/>
      <c r="H10" s="6" t="s">
        <v>53</v>
      </c>
      <c r="I10" s="15" t="s">
        <v>53</v>
      </c>
      <c r="J10" s="10" t="s">
        <v>53</v>
      </c>
      <c r="K10" s="10"/>
      <c r="L10" s="10" t="s">
        <v>11</v>
      </c>
    </row>
    <row r="11" ht="198" customHeight="1" spans="1:12">
      <c r="A11" s="6" t="s">
        <v>105</v>
      </c>
      <c r="B11" s="7" t="s">
        <v>106</v>
      </c>
      <c r="C11" s="7"/>
      <c r="D11" s="7" t="s">
        <v>107</v>
      </c>
      <c r="E11" s="7" t="s">
        <v>108</v>
      </c>
      <c r="F11" s="7"/>
      <c r="G11" s="7"/>
      <c r="H11" s="6" t="s">
        <v>80</v>
      </c>
      <c r="I11" s="9" t="s">
        <v>109</v>
      </c>
      <c r="J11" s="10" t="s">
        <v>110</v>
      </c>
      <c r="K11" s="10"/>
      <c r="L11" s="10" t="s">
        <v>111</v>
      </c>
    </row>
    <row r="12" ht="198" customHeight="1" spans="1:12">
      <c r="A12" s="6" t="s">
        <v>112</v>
      </c>
      <c r="B12" s="7" t="s">
        <v>113</v>
      </c>
      <c r="C12" s="7"/>
      <c r="D12" s="7" t="s">
        <v>107</v>
      </c>
      <c r="E12" s="7" t="s">
        <v>114</v>
      </c>
      <c r="F12" s="7"/>
      <c r="G12" s="7"/>
      <c r="H12" s="6" t="s">
        <v>80</v>
      </c>
      <c r="I12" s="9" t="s">
        <v>115</v>
      </c>
      <c r="J12" s="10" t="s">
        <v>116</v>
      </c>
      <c r="K12" s="10"/>
      <c r="L12" s="10" t="s">
        <v>117</v>
      </c>
    </row>
    <row r="13" ht="198" customHeight="1" spans="1:12">
      <c r="A13" s="6" t="s">
        <v>118</v>
      </c>
      <c r="B13" s="7" t="s">
        <v>119</v>
      </c>
      <c r="C13" s="7"/>
      <c r="D13" s="7" t="s">
        <v>107</v>
      </c>
      <c r="E13" s="7" t="s">
        <v>120</v>
      </c>
      <c r="F13" s="7"/>
      <c r="G13" s="7"/>
      <c r="H13" s="6" t="s">
        <v>80</v>
      </c>
      <c r="I13" s="9" t="s">
        <v>121</v>
      </c>
      <c r="J13" s="10" t="s">
        <v>122</v>
      </c>
      <c r="K13" s="10"/>
      <c r="L13" s="10" t="s">
        <v>123</v>
      </c>
    </row>
    <row r="14" ht="198" customHeight="1" spans="1:12">
      <c r="A14" s="6" t="s">
        <v>124</v>
      </c>
      <c r="B14" s="7" t="s">
        <v>125</v>
      </c>
      <c r="C14" s="7"/>
      <c r="D14" s="7" t="s">
        <v>126</v>
      </c>
      <c r="E14" s="7" t="s">
        <v>127</v>
      </c>
      <c r="F14" s="7"/>
      <c r="G14" s="7"/>
      <c r="H14" s="6" t="s">
        <v>80</v>
      </c>
      <c r="I14" s="9" t="s">
        <v>128</v>
      </c>
      <c r="J14" s="10" t="s">
        <v>129</v>
      </c>
      <c r="K14" s="10"/>
      <c r="L14" s="10" t="s">
        <v>130</v>
      </c>
    </row>
    <row r="15" ht="169" customHeight="1" spans="1:12">
      <c r="A15" s="6" t="s">
        <v>131</v>
      </c>
      <c r="B15" s="7" t="s">
        <v>132</v>
      </c>
      <c r="C15" s="7"/>
      <c r="D15" s="7" t="s">
        <v>133</v>
      </c>
      <c r="E15" s="7" t="s">
        <v>134</v>
      </c>
      <c r="F15" s="7"/>
      <c r="G15" s="7"/>
      <c r="H15" s="6" t="s">
        <v>135</v>
      </c>
      <c r="I15" s="9" t="s">
        <v>136</v>
      </c>
      <c r="J15" s="10" t="s">
        <v>137</v>
      </c>
      <c r="K15" s="10"/>
      <c r="L15" s="10" t="s">
        <v>138</v>
      </c>
    </row>
    <row r="16" ht="23" customHeight="1" spans="1:12">
      <c r="A16" s="6" t="s">
        <v>53</v>
      </c>
      <c r="B16" s="7" t="s">
        <v>53</v>
      </c>
      <c r="C16" s="7"/>
      <c r="D16" s="7" t="s">
        <v>13</v>
      </c>
      <c r="E16" s="7" t="s">
        <v>53</v>
      </c>
      <c r="F16" s="7"/>
      <c r="G16" s="7"/>
      <c r="H16" s="6" t="s">
        <v>53</v>
      </c>
      <c r="I16" s="15" t="s">
        <v>53</v>
      </c>
      <c r="J16" s="10" t="s">
        <v>53</v>
      </c>
      <c r="K16" s="10"/>
      <c r="L16" s="10" t="s">
        <v>14</v>
      </c>
    </row>
    <row r="17" ht="23" customHeight="1" spans="1:19">
      <c r="A17" s="6" t="s">
        <v>53</v>
      </c>
      <c r="B17" s="7" t="s">
        <v>53</v>
      </c>
      <c r="C17" s="7"/>
      <c r="D17" s="7" t="s">
        <v>139</v>
      </c>
      <c r="E17" s="7" t="s">
        <v>53</v>
      </c>
      <c r="F17" s="7"/>
      <c r="G17" s="7"/>
      <c r="H17" s="6" t="s">
        <v>53</v>
      </c>
      <c r="I17" s="15" t="s">
        <v>53</v>
      </c>
      <c r="J17" s="10" t="s">
        <v>53</v>
      </c>
      <c r="K17" s="10"/>
      <c r="L17" s="10" t="s">
        <v>140</v>
      </c>
    </row>
    <row r="18" ht="125" customHeight="1" spans="1:19">
      <c r="A18" s="6" t="s">
        <v>141</v>
      </c>
      <c r="B18" s="7" t="s">
        <v>142</v>
      </c>
      <c r="C18" s="7"/>
      <c r="D18" s="7" t="s">
        <v>143</v>
      </c>
      <c r="E18" s="7" t="s">
        <v>144</v>
      </c>
      <c r="F18" s="7"/>
      <c r="G18" s="7"/>
      <c r="H18" s="6" t="s">
        <v>80</v>
      </c>
      <c r="I18" s="9" t="s">
        <v>145</v>
      </c>
      <c r="J18" s="10" t="s">
        <v>146</v>
      </c>
      <c r="K18" s="10"/>
      <c r="L18" s="10" t="s">
        <v>147</v>
      </c>
    </row>
    <row r="19" ht="154" customHeight="1" spans="1:19">
      <c r="A19" s="6" t="s">
        <v>148</v>
      </c>
      <c r="B19" s="7" t="s">
        <v>149</v>
      </c>
      <c r="C19" s="7"/>
      <c r="D19" s="7" t="s">
        <v>150</v>
      </c>
      <c r="E19" s="7" t="s">
        <v>151</v>
      </c>
      <c r="F19" s="7"/>
      <c r="G19" s="7"/>
      <c r="H19" s="6" t="s">
        <v>80</v>
      </c>
      <c r="I19" s="9" t="s">
        <v>152</v>
      </c>
      <c r="J19" s="10" t="s">
        <v>153</v>
      </c>
      <c r="K19" s="10"/>
      <c r="L19" s="10" t="s">
        <v>154</v>
      </c>
    </row>
    <row r="20" ht="183" customHeight="1" spans="1:19">
      <c r="A20" s="6" t="s">
        <v>155</v>
      </c>
      <c r="B20" s="7" t="s">
        <v>156</v>
      </c>
      <c r="C20" s="7"/>
      <c r="D20" s="7" t="s">
        <v>157</v>
      </c>
      <c r="E20" s="7" t="s">
        <v>158</v>
      </c>
      <c r="F20" s="7"/>
      <c r="G20" s="7"/>
      <c r="H20" s="6" t="s">
        <v>80</v>
      </c>
      <c r="I20" s="9" t="s">
        <v>159</v>
      </c>
      <c r="J20" s="10" t="s">
        <v>160</v>
      </c>
      <c r="K20" s="10"/>
      <c r="L20" s="10" t="s">
        <v>161</v>
      </c>
      <c r="N20">
        <f>40</f>
        <v>40</v>
      </c>
      <c r="O20">
        <f>280+12*4</f>
        <v>328</v>
      </c>
      <c r="P20">
        <v>18</v>
      </c>
      <c r="Q20">
        <f>N20+O20+P20</f>
        <v>386</v>
      </c>
      <c r="R20">
        <f>Q20*1.05</f>
        <v>405.3</v>
      </c>
      <c r="S20" s="16">
        <f>(J20-R20)/J20</f>
        <v>0.340997040746642</v>
      </c>
    </row>
    <row r="21" ht="183" customHeight="1" spans="1:19">
      <c r="A21" s="6" t="s">
        <v>162</v>
      </c>
      <c r="B21" s="7" t="s">
        <v>163</v>
      </c>
      <c r="C21" s="7"/>
      <c r="D21" s="7" t="s">
        <v>164</v>
      </c>
      <c r="E21" s="7" t="s">
        <v>165</v>
      </c>
      <c r="F21" s="7"/>
      <c r="G21" s="7"/>
      <c r="H21" s="6" t="s">
        <v>80</v>
      </c>
      <c r="I21" s="9" t="s">
        <v>166</v>
      </c>
      <c r="J21" s="10" t="s">
        <v>167</v>
      </c>
      <c r="K21" s="10"/>
      <c r="L21" s="10" t="s">
        <v>168</v>
      </c>
    </row>
    <row r="22" ht="154" customHeight="1" spans="1:19">
      <c r="A22" s="6" t="s">
        <v>169</v>
      </c>
      <c r="B22" s="7" t="s">
        <v>170</v>
      </c>
      <c r="C22" s="7"/>
      <c r="D22" s="7" t="s">
        <v>171</v>
      </c>
      <c r="E22" s="7" t="s">
        <v>172</v>
      </c>
      <c r="F22" s="7"/>
      <c r="G22" s="7"/>
      <c r="H22" s="6" t="s">
        <v>80</v>
      </c>
      <c r="I22" s="9" t="s">
        <v>173</v>
      </c>
      <c r="J22" s="10" t="s">
        <v>174</v>
      </c>
      <c r="K22" s="10"/>
      <c r="L22" s="10" t="s">
        <v>175</v>
      </c>
    </row>
    <row r="23" ht="183" customHeight="1" spans="1:19">
      <c r="A23" s="6" t="s">
        <v>176</v>
      </c>
      <c r="B23" s="7" t="s">
        <v>177</v>
      </c>
      <c r="C23" s="7"/>
      <c r="D23" s="7" t="s">
        <v>178</v>
      </c>
      <c r="E23" s="7" t="s">
        <v>165</v>
      </c>
      <c r="F23" s="7"/>
      <c r="G23" s="7"/>
      <c r="H23" s="6" t="s">
        <v>80</v>
      </c>
      <c r="I23" s="9" t="s">
        <v>179</v>
      </c>
      <c r="J23" s="10" t="s">
        <v>180</v>
      </c>
      <c r="K23" s="10"/>
      <c r="L23" s="10" t="s">
        <v>181</v>
      </c>
    </row>
    <row r="24" ht="154" customHeight="1" spans="1:19">
      <c r="A24" s="6" t="s">
        <v>182</v>
      </c>
      <c r="B24" s="7" t="s">
        <v>183</v>
      </c>
      <c r="C24" s="7"/>
      <c r="D24" s="7" t="s">
        <v>184</v>
      </c>
      <c r="E24" s="7" t="s">
        <v>172</v>
      </c>
      <c r="F24" s="7"/>
      <c r="G24" s="7"/>
      <c r="H24" s="6" t="s">
        <v>80</v>
      </c>
      <c r="I24" s="9" t="s">
        <v>185</v>
      </c>
      <c r="J24" s="10" t="s">
        <v>186</v>
      </c>
      <c r="K24" s="10"/>
      <c r="L24" s="10" t="s">
        <v>187</v>
      </c>
    </row>
    <row r="25" ht="154" customHeight="1" spans="1:19">
      <c r="A25" s="6" t="s">
        <v>188</v>
      </c>
      <c r="B25" s="7" t="s">
        <v>189</v>
      </c>
      <c r="C25" s="7"/>
      <c r="D25" s="7" t="s">
        <v>190</v>
      </c>
      <c r="E25" s="7" t="s">
        <v>172</v>
      </c>
      <c r="F25" s="7"/>
      <c r="G25" s="7"/>
      <c r="H25" s="6" t="s">
        <v>80</v>
      </c>
      <c r="I25" s="9" t="s">
        <v>191</v>
      </c>
      <c r="J25" s="10" t="s">
        <v>192</v>
      </c>
      <c r="K25" s="10"/>
      <c r="L25" s="10" t="s">
        <v>193</v>
      </c>
    </row>
    <row r="26" ht="169" customHeight="1" spans="1:19">
      <c r="A26" s="6" t="s">
        <v>194</v>
      </c>
      <c r="B26" s="7" t="s">
        <v>195</v>
      </c>
      <c r="C26" s="7"/>
      <c r="D26" s="7" t="s">
        <v>196</v>
      </c>
      <c r="E26" s="7" t="s">
        <v>197</v>
      </c>
      <c r="F26" s="7"/>
      <c r="G26" s="7"/>
      <c r="H26" s="6" t="s">
        <v>80</v>
      </c>
      <c r="I26" s="9" t="s">
        <v>198</v>
      </c>
      <c r="J26" s="10" t="s">
        <v>199</v>
      </c>
      <c r="K26" s="10"/>
      <c r="L26" s="10" t="s">
        <v>200</v>
      </c>
    </row>
    <row r="27" ht="23" customHeight="1" spans="1:19">
      <c r="A27" s="6" t="s">
        <v>53</v>
      </c>
      <c r="B27" s="7" t="s">
        <v>53</v>
      </c>
      <c r="C27" s="7"/>
      <c r="D27" s="7" t="s">
        <v>201</v>
      </c>
      <c r="E27" s="7" t="s">
        <v>53</v>
      </c>
      <c r="F27" s="7"/>
      <c r="G27" s="7"/>
      <c r="H27" s="6" t="s">
        <v>53</v>
      </c>
      <c r="I27" s="15" t="s">
        <v>53</v>
      </c>
      <c r="J27" s="10" t="s">
        <v>53</v>
      </c>
      <c r="K27" s="10"/>
      <c r="L27" s="10" t="s">
        <v>202</v>
      </c>
    </row>
    <row r="28" ht="183" customHeight="1" spans="1:19">
      <c r="A28" s="6" t="s">
        <v>203</v>
      </c>
      <c r="B28" s="7" t="s">
        <v>204</v>
      </c>
      <c r="C28" s="7"/>
      <c r="D28" s="7" t="s">
        <v>157</v>
      </c>
      <c r="E28" s="7" t="s">
        <v>158</v>
      </c>
      <c r="F28" s="7"/>
      <c r="G28" s="7"/>
      <c r="H28" s="6" t="s">
        <v>80</v>
      </c>
      <c r="I28" s="9" t="s">
        <v>205</v>
      </c>
      <c r="J28" s="10" t="s">
        <v>160</v>
      </c>
      <c r="K28" s="10"/>
      <c r="L28" s="10" t="s">
        <v>206</v>
      </c>
    </row>
    <row r="29" ht="183" customHeight="1" spans="1:19">
      <c r="A29" s="6" t="s">
        <v>207</v>
      </c>
      <c r="B29" s="7" t="s">
        <v>208</v>
      </c>
      <c r="C29" s="7"/>
      <c r="D29" s="7" t="s">
        <v>209</v>
      </c>
      <c r="E29" s="7" t="s">
        <v>210</v>
      </c>
      <c r="F29" s="7"/>
      <c r="G29" s="7"/>
      <c r="H29" s="6" t="s">
        <v>80</v>
      </c>
      <c r="I29" s="9" t="s">
        <v>211</v>
      </c>
      <c r="J29" s="10" t="s">
        <v>212</v>
      </c>
      <c r="K29" s="10"/>
      <c r="L29" s="10" t="s">
        <v>213</v>
      </c>
    </row>
    <row r="30" ht="183" customHeight="1" spans="1:19">
      <c r="A30" s="6" t="s">
        <v>214</v>
      </c>
      <c r="B30" s="7" t="s">
        <v>215</v>
      </c>
      <c r="C30" s="7"/>
      <c r="D30" s="7" t="s">
        <v>216</v>
      </c>
      <c r="E30" s="7" t="s">
        <v>165</v>
      </c>
      <c r="F30" s="7"/>
      <c r="G30" s="7"/>
      <c r="H30" s="6" t="s">
        <v>80</v>
      </c>
      <c r="I30" s="9" t="s">
        <v>217</v>
      </c>
      <c r="J30" s="10" t="s">
        <v>167</v>
      </c>
      <c r="K30" s="10"/>
      <c r="L30" s="10" t="s">
        <v>218</v>
      </c>
    </row>
    <row r="31" ht="183" customHeight="1" spans="1:19">
      <c r="A31" s="6" t="s">
        <v>219</v>
      </c>
      <c r="B31" s="7" t="s">
        <v>220</v>
      </c>
      <c r="C31" s="7"/>
      <c r="D31" s="7" t="s">
        <v>164</v>
      </c>
      <c r="E31" s="7" t="s">
        <v>165</v>
      </c>
      <c r="F31" s="7"/>
      <c r="G31" s="7"/>
      <c r="H31" s="6" t="s">
        <v>80</v>
      </c>
      <c r="I31" s="9" t="s">
        <v>221</v>
      </c>
      <c r="J31" s="10" t="s">
        <v>167</v>
      </c>
      <c r="K31" s="10"/>
      <c r="L31" s="10" t="s">
        <v>222</v>
      </c>
    </row>
    <row r="32" ht="183" customHeight="1" spans="1:19">
      <c r="A32" s="6" t="s">
        <v>223</v>
      </c>
      <c r="B32" s="7" t="s">
        <v>224</v>
      </c>
      <c r="C32" s="7"/>
      <c r="D32" s="7" t="s">
        <v>178</v>
      </c>
      <c r="E32" s="7" t="s">
        <v>165</v>
      </c>
      <c r="F32" s="7"/>
      <c r="G32" s="7"/>
      <c r="H32" s="6" t="s">
        <v>80</v>
      </c>
      <c r="I32" s="9" t="s">
        <v>225</v>
      </c>
      <c r="J32" s="10" t="s">
        <v>180</v>
      </c>
      <c r="K32" s="10"/>
      <c r="L32" s="10" t="s">
        <v>226</v>
      </c>
    </row>
    <row r="33" ht="183" customHeight="1" spans="1:12">
      <c r="A33" s="6" t="s">
        <v>227</v>
      </c>
      <c r="B33" s="7" t="s">
        <v>228</v>
      </c>
      <c r="C33" s="7"/>
      <c r="D33" s="7" t="s">
        <v>229</v>
      </c>
      <c r="E33" s="7" t="s">
        <v>230</v>
      </c>
      <c r="F33" s="7"/>
      <c r="G33" s="7"/>
      <c r="H33" s="6" t="s">
        <v>80</v>
      </c>
      <c r="I33" s="9" t="s">
        <v>231</v>
      </c>
      <c r="J33" s="10" t="s">
        <v>232</v>
      </c>
      <c r="K33" s="10"/>
      <c r="L33" s="10" t="s">
        <v>233</v>
      </c>
    </row>
    <row r="34" ht="183" customHeight="1" spans="1:12">
      <c r="A34" s="6" t="s">
        <v>234</v>
      </c>
      <c r="B34" s="7" t="s">
        <v>235</v>
      </c>
      <c r="C34" s="7"/>
      <c r="D34" s="7" t="s">
        <v>236</v>
      </c>
      <c r="E34" s="7" t="s">
        <v>165</v>
      </c>
      <c r="F34" s="7"/>
      <c r="G34" s="7"/>
      <c r="H34" s="6" t="s">
        <v>80</v>
      </c>
      <c r="I34" s="9" t="s">
        <v>237</v>
      </c>
      <c r="J34" s="10" t="s">
        <v>238</v>
      </c>
      <c r="K34" s="10"/>
      <c r="L34" s="10" t="s">
        <v>239</v>
      </c>
    </row>
    <row r="35" ht="183" customHeight="1" spans="1:12">
      <c r="A35" s="6" t="s">
        <v>240</v>
      </c>
      <c r="B35" s="7" t="s">
        <v>241</v>
      </c>
      <c r="C35" s="7"/>
      <c r="D35" s="7" t="s">
        <v>242</v>
      </c>
      <c r="E35" s="7" t="s">
        <v>230</v>
      </c>
      <c r="F35" s="7"/>
      <c r="G35" s="7"/>
      <c r="H35" s="6" t="s">
        <v>80</v>
      </c>
      <c r="I35" s="9" t="s">
        <v>243</v>
      </c>
      <c r="J35" s="10" t="s">
        <v>244</v>
      </c>
      <c r="K35" s="10"/>
      <c r="L35" s="10" t="s">
        <v>245</v>
      </c>
    </row>
    <row r="36" ht="183" customHeight="1" spans="1:12">
      <c r="A36" s="6" t="s">
        <v>246</v>
      </c>
      <c r="B36" s="7" t="s">
        <v>247</v>
      </c>
      <c r="C36" s="7"/>
      <c r="D36" s="7" t="s">
        <v>248</v>
      </c>
      <c r="E36" s="7" t="s">
        <v>165</v>
      </c>
      <c r="F36" s="7"/>
      <c r="G36" s="7"/>
      <c r="H36" s="6" t="s">
        <v>80</v>
      </c>
      <c r="I36" s="9" t="s">
        <v>249</v>
      </c>
      <c r="J36" s="10" t="s">
        <v>250</v>
      </c>
      <c r="K36" s="10"/>
      <c r="L36" s="10" t="s">
        <v>251</v>
      </c>
    </row>
    <row r="37" ht="154" customHeight="1" spans="1:12">
      <c r="A37" s="6" t="s">
        <v>252</v>
      </c>
      <c r="B37" s="7" t="s">
        <v>253</v>
      </c>
      <c r="C37" s="7"/>
      <c r="D37" s="7" t="s">
        <v>254</v>
      </c>
      <c r="E37" s="7" t="s">
        <v>255</v>
      </c>
      <c r="F37" s="7"/>
      <c r="G37" s="7"/>
      <c r="H37" s="6" t="s">
        <v>80</v>
      </c>
      <c r="I37" s="9" t="s">
        <v>256</v>
      </c>
      <c r="J37" s="10" t="s">
        <v>257</v>
      </c>
      <c r="K37" s="10"/>
      <c r="L37" s="10" t="s">
        <v>257</v>
      </c>
    </row>
    <row r="38" ht="183" customHeight="1" spans="1:12">
      <c r="A38" s="6" t="s">
        <v>258</v>
      </c>
      <c r="B38" s="7" t="s">
        <v>259</v>
      </c>
      <c r="C38" s="7"/>
      <c r="D38" s="7" t="s">
        <v>260</v>
      </c>
      <c r="E38" s="7" t="s">
        <v>230</v>
      </c>
      <c r="F38" s="7"/>
      <c r="G38" s="7"/>
      <c r="H38" s="6" t="s">
        <v>80</v>
      </c>
      <c r="I38" s="9" t="s">
        <v>261</v>
      </c>
      <c r="J38" s="10" t="s">
        <v>262</v>
      </c>
      <c r="K38" s="10"/>
      <c r="L38" s="10" t="s">
        <v>263</v>
      </c>
    </row>
    <row r="39" ht="183" customHeight="1" spans="1:12">
      <c r="A39" s="6" t="s">
        <v>264</v>
      </c>
      <c r="B39" s="7" t="s">
        <v>265</v>
      </c>
      <c r="C39" s="7"/>
      <c r="D39" s="7" t="s">
        <v>266</v>
      </c>
      <c r="E39" s="7" t="s">
        <v>165</v>
      </c>
      <c r="F39" s="7"/>
      <c r="G39" s="7"/>
      <c r="H39" s="6" t="s">
        <v>80</v>
      </c>
      <c r="I39" s="9" t="s">
        <v>267</v>
      </c>
      <c r="J39" s="10" t="s">
        <v>268</v>
      </c>
      <c r="K39" s="10"/>
      <c r="L39" s="10" t="s">
        <v>269</v>
      </c>
    </row>
    <row r="40" ht="154" customHeight="1" spans="1:12">
      <c r="A40" s="6" t="s">
        <v>270</v>
      </c>
      <c r="B40" s="7" t="s">
        <v>271</v>
      </c>
      <c r="C40" s="7"/>
      <c r="D40" s="7" t="s">
        <v>272</v>
      </c>
      <c r="E40" s="7" t="s">
        <v>255</v>
      </c>
      <c r="F40" s="7"/>
      <c r="G40" s="7"/>
      <c r="H40" s="6" t="s">
        <v>80</v>
      </c>
      <c r="I40" s="9" t="s">
        <v>256</v>
      </c>
      <c r="J40" s="10" t="s">
        <v>273</v>
      </c>
      <c r="K40" s="10"/>
      <c r="L40" s="10" t="s">
        <v>273</v>
      </c>
    </row>
    <row r="41" ht="154" customHeight="1" spans="1:12">
      <c r="A41" s="6" t="s">
        <v>274</v>
      </c>
      <c r="B41" s="7" t="s">
        <v>275</v>
      </c>
      <c r="C41" s="7"/>
      <c r="D41" s="7" t="s">
        <v>276</v>
      </c>
      <c r="E41" s="7" t="s">
        <v>255</v>
      </c>
      <c r="F41" s="7"/>
      <c r="G41" s="7"/>
      <c r="H41" s="6" t="s">
        <v>80</v>
      </c>
      <c r="I41" s="9" t="s">
        <v>256</v>
      </c>
      <c r="J41" s="10" t="s">
        <v>277</v>
      </c>
      <c r="K41" s="10"/>
      <c r="L41" s="10" t="s">
        <v>277</v>
      </c>
    </row>
    <row r="42" ht="183" customHeight="1" spans="1:12">
      <c r="A42" s="6" t="s">
        <v>278</v>
      </c>
      <c r="B42" s="7" t="s">
        <v>279</v>
      </c>
      <c r="C42" s="7"/>
      <c r="D42" s="7" t="s">
        <v>280</v>
      </c>
      <c r="E42" s="7" t="s">
        <v>230</v>
      </c>
      <c r="F42" s="7"/>
      <c r="G42" s="7"/>
      <c r="H42" s="6" t="s">
        <v>80</v>
      </c>
      <c r="I42" s="9" t="s">
        <v>281</v>
      </c>
      <c r="J42" s="10" t="s">
        <v>282</v>
      </c>
      <c r="K42" s="10"/>
      <c r="L42" s="10" t="s">
        <v>283</v>
      </c>
    </row>
    <row r="43" ht="183" customHeight="1" spans="1:12">
      <c r="A43" s="6" t="s">
        <v>284</v>
      </c>
      <c r="B43" s="7" t="s">
        <v>285</v>
      </c>
      <c r="C43" s="7"/>
      <c r="D43" s="7" t="s">
        <v>286</v>
      </c>
      <c r="E43" s="7" t="s">
        <v>165</v>
      </c>
      <c r="F43" s="7"/>
      <c r="G43" s="7"/>
      <c r="H43" s="6" t="s">
        <v>80</v>
      </c>
      <c r="I43" s="9" t="s">
        <v>287</v>
      </c>
      <c r="J43" s="10" t="s">
        <v>288</v>
      </c>
      <c r="K43" s="10"/>
      <c r="L43" s="10" t="s">
        <v>289</v>
      </c>
    </row>
    <row r="44" ht="154" customHeight="1" spans="1:12">
      <c r="A44" s="6" t="s">
        <v>290</v>
      </c>
      <c r="B44" s="7" t="s">
        <v>291</v>
      </c>
      <c r="C44" s="7"/>
      <c r="D44" s="7" t="s">
        <v>292</v>
      </c>
      <c r="E44" s="7" t="s">
        <v>255</v>
      </c>
      <c r="F44" s="7"/>
      <c r="G44" s="7"/>
      <c r="H44" s="6" t="s">
        <v>80</v>
      </c>
      <c r="I44" s="9" t="s">
        <v>293</v>
      </c>
      <c r="J44" s="10" t="s">
        <v>294</v>
      </c>
      <c r="K44" s="10"/>
      <c r="L44" s="10" t="s">
        <v>295</v>
      </c>
    </row>
    <row r="45" ht="154" customHeight="1" spans="1:12">
      <c r="A45" s="6" t="s">
        <v>296</v>
      </c>
      <c r="B45" s="7" t="s">
        <v>297</v>
      </c>
      <c r="C45" s="7"/>
      <c r="D45" s="7" t="s">
        <v>298</v>
      </c>
      <c r="E45" s="7" t="s">
        <v>255</v>
      </c>
      <c r="F45" s="7"/>
      <c r="G45" s="7"/>
      <c r="H45" s="6" t="s">
        <v>80</v>
      </c>
      <c r="I45" s="9" t="s">
        <v>299</v>
      </c>
      <c r="J45" s="10" t="s">
        <v>300</v>
      </c>
      <c r="K45" s="10"/>
      <c r="L45" s="10" t="s">
        <v>301</v>
      </c>
    </row>
    <row r="46" ht="183" customHeight="1" spans="1:12">
      <c r="A46" s="6" t="s">
        <v>302</v>
      </c>
      <c r="B46" s="7" t="s">
        <v>303</v>
      </c>
      <c r="C46" s="7"/>
      <c r="D46" s="7" t="s">
        <v>304</v>
      </c>
      <c r="E46" s="7" t="s">
        <v>230</v>
      </c>
      <c r="F46" s="7"/>
      <c r="G46" s="7"/>
      <c r="H46" s="6" t="s">
        <v>80</v>
      </c>
      <c r="I46" s="9" t="s">
        <v>305</v>
      </c>
      <c r="J46" s="10" t="s">
        <v>306</v>
      </c>
      <c r="K46" s="10"/>
      <c r="L46" s="10" t="s">
        <v>307</v>
      </c>
    </row>
    <row r="47" ht="169" customHeight="1" spans="1:12">
      <c r="A47" s="6" t="s">
        <v>308</v>
      </c>
      <c r="B47" s="7" t="s">
        <v>309</v>
      </c>
      <c r="C47" s="7"/>
      <c r="D47" s="7" t="s">
        <v>310</v>
      </c>
      <c r="E47" s="7" t="s">
        <v>311</v>
      </c>
      <c r="F47" s="7"/>
      <c r="G47" s="7"/>
      <c r="H47" s="6" t="s">
        <v>80</v>
      </c>
      <c r="I47" s="9" t="s">
        <v>312</v>
      </c>
      <c r="J47" s="10" t="s">
        <v>313</v>
      </c>
      <c r="K47" s="10"/>
      <c r="L47" s="10" t="s">
        <v>314</v>
      </c>
    </row>
    <row r="48" ht="169" customHeight="1" spans="1:12">
      <c r="A48" s="6" t="s">
        <v>315</v>
      </c>
      <c r="B48" s="7" t="s">
        <v>316</v>
      </c>
      <c r="C48" s="7"/>
      <c r="D48" s="7" t="s">
        <v>317</v>
      </c>
      <c r="E48" s="7" t="s">
        <v>318</v>
      </c>
      <c r="F48" s="7"/>
      <c r="G48" s="7"/>
      <c r="H48" s="6" t="s">
        <v>80</v>
      </c>
      <c r="I48" s="9" t="s">
        <v>319</v>
      </c>
      <c r="J48" s="10" t="s">
        <v>320</v>
      </c>
      <c r="K48" s="10"/>
      <c r="L48" s="10" t="s">
        <v>321</v>
      </c>
    </row>
    <row r="49" ht="169" customHeight="1" spans="1:12">
      <c r="A49" s="6" t="s">
        <v>322</v>
      </c>
      <c r="B49" s="7" t="s">
        <v>323</v>
      </c>
      <c r="C49" s="7"/>
      <c r="D49" s="7" t="s">
        <v>324</v>
      </c>
      <c r="E49" s="7" t="s">
        <v>311</v>
      </c>
      <c r="F49" s="7"/>
      <c r="G49" s="7"/>
      <c r="H49" s="6" t="s">
        <v>80</v>
      </c>
      <c r="I49" s="9" t="s">
        <v>325</v>
      </c>
      <c r="J49" s="10" t="s">
        <v>326</v>
      </c>
      <c r="K49" s="10"/>
      <c r="L49" s="10" t="s">
        <v>327</v>
      </c>
    </row>
    <row r="50" ht="169" customHeight="1" spans="1:12">
      <c r="A50" s="6" t="s">
        <v>328</v>
      </c>
      <c r="B50" s="7" t="s">
        <v>329</v>
      </c>
      <c r="C50" s="7"/>
      <c r="D50" s="7" t="s">
        <v>330</v>
      </c>
      <c r="E50" s="7" t="s">
        <v>318</v>
      </c>
      <c r="F50" s="7"/>
      <c r="G50" s="7"/>
      <c r="H50" s="6" t="s">
        <v>80</v>
      </c>
      <c r="I50" s="9" t="s">
        <v>331</v>
      </c>
      <c r="J50" s="10" t="s">
        <v>332</v>
      </c>
      <c r="K50" s="10"/>
      <c r="L50" s="10" t="s">
        <v>333</v>
      </c>
    </row>
    <row r="51" ht="23" customHeight="1" spans="1:12">
      <c r="A51" s="6" t="s">
        <v>53</v>
      </c>
      <c r="B51" s="7" t="s">
        <v>53</v>
      </c>
      <c r="C51" s="7"/>
      <c r="D51" s="7" t="s">
        <v>16</v>
      </c>
      <c r="E51" s="7" t="s">
        <v>53</v>
      </c>
      <c r="F51" s="7"/>
      <c r="G51" s="7"/>
      <c r="H51" s="6" t="s">
        <v>53</v>
      </c>
      <c r="I51" s="15" t="s">
        <v>53</v>
      </c>
      <c r="J51" s="10" t="s">
        <v>53</v>
      </c>
      <c r="K51" s="10"/>
      <c r="L51" s="10" t="s">
        <v>17</v>
      </c>
    </row>
    <row r="52" ht="23" customHeight="1" spans="1:12">
      <c r="A52" s="6" t="s">
        <v>53</v>
      </c>
      <c r="B52" s="7" t="s">
        <v>53</v>
      </c>
      <c r="C52" s="7"/>
      <c r="D52" s="7" t="s">
        <v>139</v>
      </c>
      <c r="E52" s="7" t="s">
        <v>53</v>
      </c>
      <c r="F52" s="7"/>
      <c r="G52" s="7"/>
      <c r="H52" s="6" t="s">
        <v>53</v>
      </c>
      <c r="I52" s="15" t="s">
        <v>53</v>
      </c>
      <c r="J52" s="10" t="s">
        <v>53</v>
      </c>
      <c r="K52" s="10"/>
      <c r="L52" s="10" t="s">
        <v>334</v>
      </c>
    </row>
    <row r="53" ht="80" customHeight="1" spans="1:12">
      <c r="A53" s="6" t="s">
        <v>335</v>
      </c>
      <c r="B53" s="7" t="s">
        <v>336</v>
      </c>
      <c r="C53" s="7"/>
      <c r="D53" s="7" t="s">
        <v>337</v>
      </c>
      <c r="E53" s="7" t="s">
        <v>338</v>
      </c>
      <c r="F53" s="7"/>
      <c r="G53" s="7"/>
      <c r="H53" s="6" t="s">
        <v>135</v>
      </c>
      <c r="I53" s="9" t="s">
        <v>339</v>
      </c>
      <c r="J53" s="10" t="s">
        <v>340</v>
      </c>
      <c r="K53" s="10"/>
      <c r="L53" s="10" t="s">
        <v>341</v>
      </c>
    </row>
    <row r="54" ht="80" customHeight="1" spans="1:12">
      <c r="A54" s="6" t="s">
        <v>342</v>
      </c>
      <c r="B54" s="7" t="s">
        <v>343</v>
      </c>
      <c r="C54" s="7"/>
      <c r="D54" s="7" t="s">
        <v>344</v>
      </c>
      <c r="E54" s="7" t="s">
        <v>345</v>
      </c>
      <c r="F54" s="7"/>
      <c r="G54" s="7"/>
      <c r="H54" s="6" t="s">
        <v>135</v>
      </c>
      <c r="I54" s="9" t="s">
        <v>346</v>
      </c>
      <c r="J54" s="10" t="s">
        <v>347</v>
      </c>
      <c r="K54" s="10"/>
      <c r="L54" s="10" t="s">
        <v>348</v>
      </c>
    </row>
    <row r="55" ht="80" customHeight="1" spans="1:12">
      <c r="A55" s="6" t="s">
        <v>349</v>
      </c>
      <c r="B55" s="7" t="s">
        <v>350</v>
      </c>
      <c r="C55" s="7"/>
      <c r="D55" s="7" t="s">
        <v>351</v>
      </c>
      <c r="E55" s="7" t="s">
        <v>352</v>
      </c>
      <c r="F55" s="7"/>
      <c r="G55" s="7"/>
      <c r="H55" s="6" t="s">
        <v>135</v>
      </c>
      <c r="I55" s="9" t="s">
        <v>353</v>
      </c>
      <c r="J55" s="10" t="s">
        <v>354</v>
      </c>
      <c r="K55" s="10"/>
      <c r="L55" s="10" t="s">
        <v>355</v>
      </c>
    </row>
    <row r="56" ht="80" customHeight="1" spans="1:12">
      <c r="A56" s="6" t="s">
        <v>356</v>
      </c>
      <c r="B56" s="7" t="s">
        <v>357</v>
      </c>
      <c r="C56" s="7"/>
      <c r="D56" s="7" t="s">
        <v>337</v>
      </c>
      <c r="E56" s="7" t="s">
        <v>358</v>
      </c>
      <c r="F56" s="7"/>
      <c r="G56" s="7"/>
      <c r="H56" s="6" t="s">
        <v>135</v>
      </c>
      <c r="I56" s="9" t="s">
        <v>359</v>
      </c>
      <c r="J56" s="10" t="s">
        <v>360</v>
      </c>
      <c r="K56" s="10"/>
      <c r="L56" s="10" t="s">
        <v>361</v>
      </c>
    </row>
    <row r="57" ht="110" customHeight="1" spans="1:12">
      <c r="A57" s="6" t="s">
        <v>362</v>
      </c>
      <c r="B57" s="7" t="s">
        <v>363</v>
      </c>
      <c r="C57" s="7"/>
      <c r="D57" s="7" t="s">
        <v>364</v>
      </c>
      <c r="E57" s="7" t="s">
        <v>365</v>
      </c>
      <c r="F57" s="7"/>
      <c r="G57" s="7"/>
      <c r="H57" s="6" t="s">
        <v>135</v>
      </c>
      <c r="I57" s="9" t="s">
        <v>366</v>
      </c>
      <c r="J57" s="10" t="s">
        <v>367</v>
      </c>
      <c r="K57" s="10"/>
      <c r="L57" s="10" t="s">
        <v>368</v>
      </c>
    </row>
    <row r="58" ht="95" customHeight="1" spans="1:12">
      <c r="A58" s="6" t="s">
        <v>369</v>
      </c>
      <c r="B58" s="7" t="s">
        <v>370</v>
      </c>
      <c r="C58" s="7"/>
      <c r="D58" s="7" t="s">
        <v>364</v>
      </c>
      <c r="E58" s="7" t="s">
        <v>371</v>
      </c>
      <c r="F58" s="7"/>
      <c r="G58" s="7"/>
      <c r="H58" s="6" t="s">
        <v>135</v>
      </c>
      <c r="I58" s="9" t="s">
        <v>372</v>
      </c>
      <c r="J58" s="10" t="s">
        <v>373</v>
      </c>
      <c r="K58" s="10"/>
      <c r="L58" s="10" t="s">
        <v>374</v>
      </c>
    </row>
    <row r="59" ht="80" customHeight="1" spans="1:12">
      <c r="A59" s="6" t="s">
        <v>375</v>
      </c>
      <c r="B59" s="7" t="s">
        <v>376</v>
      </c>
      <c r="C59" s="7"/>
      <c r="D59" s="7" t="s">
        <v>377</v>
      </c>
      <c r="E59" s="7" t="s">
        <v>378</v>
      </c>
      <c r="F59" s="7"/>
      <c r="G59" s="7"/>
      <c r="H59" s="6" t="s">
        <v>135</v>
      </c>
      <c r="I59" s="9" t="s">
        <v>379</v>
      </c>
      <c r="J59" s="10" t="s">
        <v>380</v>
      </c>
      <c r="K59" s="10"/>
      <c r="L59" s="10" t="s">
        <v>381</v>
      </c>
    </row>
    <row r="60" ht="110" customHeight="1" spans="1:12">
      <c r="A60" s="6" t="s">
        <v>382</v>
      </c>
      <c r="B60" s="7" t="s">
        <v>383</v>
      </c>
      <c r="C60" s="7"/>
      <c r="D60" s="7" t="s">
        <v>384</v>
      </c>
      <c r="E60" s="7" t="s">
        <v>385</v>
      </c>
      <c r="F60" s="7"/>
      <c r="G60" s="7"/>
      <c r="H60" s="6" t="s">
        <v>135</v>
      </c>
      <c r="I60" s="9" t="s">
        <v>386</v>
      </c>
      <c r="J60" s="10" t="s">
        <v>387</v>
      </c>
      <c r="K60" s="10"/>
      <c r="L60" s="10" t="s">
        <v>388</v>
      </c>
    </row>
    <row r="61" ht="95" customHeight="1" spans="1:12">
      <c r="A61" s="6" t="s">
        <v>389</v>
      </c>
      <c r="B61" s="7" t="s">
        <v>390</v>
      </c>
      <c r="C61" s="7"/>
      <c r="D61" s="7" t="s">
        <v>391</v>
      </c>
      <c r="E61" s="7" t="s">
        <v>392</v>
      </c>
      <c r="F61" s="7"/>
      <c r="G61" s="7"/>
      <c r="H61" s="6" t="s">
        <v>135</v>
      </c>
      <c r="I61" s="9" t="s">
        <v>393</v>
      </c>
      <c r="J61" s="10" t="s">
        <v>394</v>
      </c>
      <c r="K61" s="10"/>
      <c r="L61" s="10" t="s">
        <v>395</v>
      </c>
    </row>
    <row r="62" ht="80" customHeight="1" spans="1:12">
      <c r="A62" s="6" t="s">
        <v>396</v>
      </c>
      <c r="B62" s="7" t="s">
        <v>397</v>
      </c>
      <c r="C62" s="7"/>
      <c r="D62" s="7" t="s">
        <v>398</v>
      </c>
      <c r="E62" s="7" t="s">
        <v>399</v>
      </c>
      <c r="F62" s="7"/>
      <c r="G62" s="7"/>
      <c r="H62" s="6" t="s">
        <v>135</v>
      </c>
      <c r="I62" s="9" t="s">
        <v>400</v>
      </c>
      <c r="J62" s="10" t="s">
        <v>347</v>
      </c>
      <c r="K62" s="10"/>
      <c r="L62" s="10" t="s">
        <v>401</v>
      </c>
    </row>
    <row r="63" ht="23" customHeight="1" spans="1:12">
      <c r="A63" s="6" t="s">
        <v>53</v>
      </c>
      <c r="B63" s="7" t="s">
        <v>53</v>
      </c>
      <c r="C63" s="7"/>
      <c r="D63" s="7" t="s">
        <v>201</v>
      </c>
      <c r="E63" s="7" t="s">
        <v>53</v>
      </c>
      <c r="F63" s="7"/>
      <c r="G63" s="7"/>
      <c r="H63" s="6" t="s">
        <v>53</v>
      </c>
      <c r="I63" s="15" t="s">
        <v>53</v>
      </c>
      <c r="J63" s="10" t="s">
        <v>53</v>
      </c>
      <c r="K63" s="10"/>
      <c r="L63" s="10" t="s">
        <v>402</v>
      </c>
    </row>
    <row r="64" ht="110" customHeight="1" spans="1:12">
      <c r="A64" s="6" t="s">
        <v>403</v>
      </c>
      <c r="B64" s="7" t="s">
        <v>404</v>
      </c>
      <c r="C64" s="7"/>
      <c r="D64" s="7" t="s">
        <v>364</v>
      </c>
      <c r="E64" s="7" t="s">
        <v>405</v>
      </c>
      <c r="F64" s="7"/>
      <c r="G64" s="7"/>
      <c r="H64" s="6" t="s">
        <v>135</v>
      </c>
      <c r="I64" s="9" t="s">
        <v>406</v>
      </c>
      <c r="J64" s="10" t="s">
        <v>407</v>
      </c>
      <c r="K64" s="10"/>
      <c r="L64" s="10" t="s">
        <v>408</v>
      </c>
    </row>
    <row r="65" ht="110" customHeight="1" spans="1:12">
      <c r="A65" s="6" t="s">
        <v>409</v>
      </c>
      <c r="B65" s="7" t="s">
        <v>410</v>
      </c>
      <c r="C65" s="7"/>
      <c r="D65" s="7" t="s">
        <v>364</v>
      </c>
      <c r="E65" s="7" t="s">
        <v>411</v>
      </c>
      <c r="F65" s="7"/>
      <c r="G65" s="7"/>
      <c r="H65" s="6" t="s">
        <v>135</v>
      </c>
      <c r="I65" s="9" t="s">
        <v>412</v>
      </c>
      <c r="J65" s="10" t="s">
        <v>413</v>
      </c>
      <c r="K65" s="10"/>
      <c r="L65" s="10" t="s">
        <v>414</v>
      </c>
    </row>
    <row r="66" ht="110" customHeight="1" spans="1:12">
      <c r="A66" s="6" t="s">
        <v>415</v>
      </c>
      <c r="B66" s="7" t="s">
        <v>416</v>
      </c>
      <c r="C66" s="7"/>
      <c r="D66" s="7" t="s">
        <v>364</v>
      </c>
      <c r="E66" s="7" t="s">
        <v>417</v>
      </c>
      <c r="F66" s="7"/>
      <c r="G66" s="7"/>
      <c r="H66" s="6" t="s">
        <v>135</v>
      </c>
      <c r="I66" s="9" t="s">
        <v>418</v>
      </c>
      <c r="J66" s="10" t="s">
        <v>419</v>
      </c>
      <c r="K66" s="10"/>
      <c r="L66" s="10" t="s">
        <v>420</v>
      </c>
    </row>
    <row r="67" ht="110" customHeight="1" spans="1:12">
      <c r="A67" s="6" t="s">
        <v>421</v>
      </c>
      <c r="B67" s="7" t="s">
        <v>422</v>
      </c>
      <c r="C67" s="7"/>
      <c r="D67" s="7" t="s">
        <v>364</v>
      </c>
      <c r="E67" s="7" t="s">
        <v>423</v>
      </c>
      <c r="F67" s="7"/>
      <c r="G67" s="7"/>
      <c r="H67" s="6" t="s">
        <v>135</v>
      </c>
      <c r="I67" s="9" t="s">
        <v>424</v>
      </c>
      <c r="J67" s="10" t="s">
        <v>425</v>
      </c>
      <c r="K67" s="10"/>
      <c r="L67" s="10" t="s">
        <v>426</v>
      </c>
    </row>
    <row r="68" ht="95" customHeight="1" spans="1:12">
      <c r="A68" s="6" t="s">
        <v>427</v>
      </c>
      <c r="B68" s="7" t="s">
        <v>428</v>
      </c>
      <c r="C68" s="7"/>
      <c r="D68" s="7" t="s">
        <v>364</v>
      </c>
      <c r="E68" s="7" t="s">
        <v>371</v>
      </c>
      <c r="F68" s="7"/>
      <c r="G68" s="7"/>
      <c r="H68" s="6" t="s">
        <v>135</v>
      </c>
      <c r="I68" s="9" t="s">
        <v>429</v>
      </c>
      <c r="J68" s="10" t="s">
        <v>373</v>
      </c>
      <c r="K68" s="10"/>
      <c r="L68" s="10" t="s">
        <v>430</v>
      </c>
    </row>
    <row r="69" ht="95" customHeight="1" spans="1:12">
      <c r="A69" s="6" t="s">
        <v>431</v>
      </c>
      <c r="B69" s="7" t="s">
        <v>432</v>
      </c>
      <c r="C69" s="7"/>
      <c r="D69" s="7" t="s">
        <v>364</v>
      </c>
      <c r="E69" s="7" t="s">
        <v>433</v>
      </c>
      <c r="F69" s="7"/>
      <c r="G69" s="7"/>
      <c r="H69" s="6" t="s">
        <v>135</v>
      </c>
      <c r="I69" s="9" t="s">
        <v>429</v>
      </c>
      <c r="J69" s="10" t="s">
        <v>434</v>
      </c>
      <c r="K69" s="10"/>
      <c r="L69" s="10" t="s">
        <v>435</v>
      </c>
    </row>
    <row r="70" ht="110" customHeight="1" spans="1:12">
      <c r="A70" s="6" t="s">
        <v>436</v>
      </c>
      <c r="B70" s="7" t="s">
        <v>437</v>
      </c>
      <c r="C70" s="7"/>
      <c r="D70" s="7" t="s">
        <v>384</v>
      </c>
      <c r="E70" s="7" t="s">
        <v>438</v>
      </c>
      <c r="F70" s="7"/>
      <c r="G70" s="7"/>
      <c r="H70" s="6" t="s">
        <v>135</v>
      </c>
      <c r="I70" s="9" t="s">
        <v>439</v>
      </c>
      <c r="J70" s="10" t="s">
        <v>440</v>
      </c>
      <c r="K70" s="10"/>
      <c r="L70" s="10" t="s">
        <v>441</v>
      </c>
    </row>
    <row r="71" ht="110" customHeight="1" spans="1:12">
      <c r="A71" s="6" t="s">
        <v>442</v>
      </c>
      <c r="B71" s="7" t="s">
        <v>443</v>
      </c>
      <c r="C71" s="7"/>
      <c r="D71" s="7" t="s">
        <v>444</v>
      </c>
      <c r="E71" s="7" t="s">
        <v>445</v>
      </c>
      <c r="F71" s="7"/>
      <c r="G71" s="7"/>
      <c r="H71" s="6" t="s">
        <v>135</v>
      </c>
      <c r="I71" s="9" t="s">
        <v>446</v>
      </c>
      <c r="J71" s="10" t="s">
        <v>447</v>
      </c>
      <c r="K71" s="10"/>
      <c r="L71" s="10" t="s">
        <v>448</v>
      </c>
    </row>
    <row r="72" ht="110" customHeight="1" spans="1:12">
      <c r="A72" s="6" t="s">
        <v>449</v>
      </c>
      <c r="B72" s="7" t="s">
        <v>450</v>
      </c>
      <c r="C72" s="7"/>
      <c r="D72" s="7" t="s">
        <v>444</v>
      </c>
      <c r="E72" s="7" t="s">
        <v>451</v>
      </c>
      <c r="F72" s="7"/>
      <c r="G72" s="7"/>
      <c r="H72" s="6" t="s">
        <v>135</v>
      </c>
      <c r="I72" s="9" t="s">
        <v>452</v>
      </c>
      <c r="J72" s="10" t="s">
        <v>453</v>
      </c>
      <c r="K72" s="10"/>
      <c r="L72" s="10" t="s">
        <v>454</v>
      </c>
    </row>
    <row r="73" ht="110" customHeight="1" spans="1:12">
      <c r="A73" s="6" t="s">
        <v>455</v>
      </c>
      <c r="B73" s="7" t="s">
        <v>456</v>
      </c>
      <c r="C73" s="7"/>
      <c r="D73" s="7" t="s">
        <v>444</v>
      </c>
      <c r="E73" s="7" t="s">
        <v>457</v>
      </c>
      <c r="F73" s="7"/>
      <c r="G73" s="7"/>
      <c r="H73" s="6" t="s">
        <v>135</v>
      </c>
      <c r="I73" s="9" t="s">
        <v>458</v>
      </c>
      <c r="J73" s="10" t="s">
        <v>459</v>
      </c>
      <c r="K73" s="10"/>
      <c r="L73" s="10" t="s">
        <v>460</v>
      </c>
    </row>
    <row r="74" ht="110" customHeight="1" spans="1:12">
      <c r="A74" s="6" t="s">
        <v>461</v>
      </c>
      <c r="B74" s="7" t="s">
        <v>462</v>
      </c>
      <c r="C74" s="7"/>
      <c r="D74" s="7" t="s">
        <v>444</v>
      </c>
      <c r="E74" s="7" t="s">
        <v>463</v>
      </c>
      <c r="F74" s="7"/>
      <c r="G74" s="7"/>
      <c r="H74" s="6" t="s">
        <v>135</v>
      </c>
      <c r="I74" s="9" t="s">
        <v>464</v>
      </c>
      <c r="J74" s="10" t="s">
        <v>465</v>
      </c>
      <c r="K74" s="10"/>
      <c r="L74" s="10" t="s">
        <v>466</v>
      </c>
    </row>
    <row r="75" ht="110" customHeight="1" spans="1:12">
      <c r="A75" s="6" t="s">
        <v>467</v>
      </c>
      <c r="B75" s="7" t="s">
        <v>468</v>
      </c>
      <c r="C75" s="7"/>
      <c r="D75" s="7" t="s">
        <v>444</v>
      </c>
      <c r="E75" s="7" t="s">
        <v>469</v>
      </c>
      <c r="F75" s="7"/>
      <c r="G75" s="7"/>
      <c r="H75" s="6" t="s">
        <v>135</v>
      </c>
      <c r="I75" s="9" t="s">
        <v>470</v>
      </c>
      <c r="J75" s="10" t="s">
        <v>471</v>
      </c>
      <c r="K75" s="10"/>
      <c r="L75" s="10" t="s">
        <v>472</v>
      </c>
    </row>
    <row r="76" ht="95" customHeight="1" spans="1:12">
      <c r="A76" s="6" t="s">
        <v>473</v>
      </c>
      <c r="B76" s="7" t="s">
        <v>474</v>
      </c>
      <c r="C76" s="7"/>
      <c r="D76" s="7" t="s">
        <v>391</v>
      </c>
      <c r="E76" s="7" t="s">
        <v>392</v>
      </c>
      <c r="F76" s="7"/>
      <c r="G76" s="7"/>
      <c r="H76" s="6" t="s">
        <v>135</v>
      </c>
      <c r="I76" s="9" t="s">
        <v>475</v>
      </c>
      <c r="J76" s="10" t="s">
        <v>394</v>
      </c>
      <c r="K76" s="10"/>
      <c r="L76" s="10" t="s">
        <v>476</v>
      </c>
    </row>
    <row r="77" ht="95" customHeight="1" spans="1:12">
      <c r="A77" s="6" t="s">
        <v>477</v>
      </c>
      <c r="B77" s="7" t="s">
        <v>478</v>
      </c>
      <c r="C77" s="7"/>
      <c r="D77" s="7" t="s">
        <v>391</v>
      </c>
      <c r="E77" s="7" t="s">
        <v>479</v>
      </c>
      <c r="F77" s="7"/>
      <c r="G77" s="7"/>
      <c r="H77" s="6" t="s">
        <v>135</v>
      </c>
      <c r="I77" s="9" t="s">
        <v>480</v>
      </c>
      <c r="J77" s="10" t="s">
        <v>481</v>
      </c>
      <c r="K77" s="10"/>
      <c r="L77" s="10" t="s">
        <v>482</v>
      </c>
    </row>
    <row r="78" ht="95" customHeight="1" spans="1:12">
      <c r="A78" s="6" t="s">
        <v>483</v>
      </c>
      <c r="B78" s="7" t="s">
        <v>484</v>
      </c>
      <c r="C78" s="7"/>
      <c r="D78" s="7" t="s">
        <v>391</v>
      </c>
      <c r="E78" s="7" t="s">
        <v>485</v>
      </c>
      <c r="F78" s="7"/>
      <c r="G78" s="7"/>
      <c r="H78" s="6" t="s">
        <v>135</v>
      </c>
      <c r="I78" s="9" t="s">
        <v>486</v>
      </c>
      <c r="J78" s="10" t="s">
        <v>487</v>
      </c>
      <c r="K78" s="10"/>
      <c r="L78" s="10" t="s">
        <v>488</v>
      </c>
    </row>
    <row r="79" ht="95" customHeight="1" spans="1:12">
      <c r="A79" s="6" t="s">
        <v>489</v>
      </c>
      <c r="B79" s="7" t="s">
        <v>490</v>
      </c>
      <c r="C79" s="7"/>
      <c r="D79" s="7" t="s">
        <v>391</v>
      </c>
      <c r="E79" s="7" t="s">
        <v>491</v>
      </c>
      <c r="F79" s="7"/>
      <c r="G79" s="7"/>
      <c r="H79" s="6" t="s">
        <v>135</v>
      </c>
      <c r="I79" s="9" t="s">
        <v>492</v>
      </c>
      <c r="J79" s="10" t="s">
        <v>493</v>
      </c>
      <c r="K79" s="10"/>
      <c r="L79" s="10" t="s">
        <v>494</v>
      </c>
    </row>
    <row r="80" ht="95" customHeight="1" spans="1:12">
      <c r="A80" s="6" t="s">
        <v>495</v>
      </c>
      <c r="B80" s="7" t="s">
        <v>496</v>
      </c>
      <c r="C80" s="7"/>
      <c r="D80" s="7" t="s">
        <v>391</v>
      </c>
      <c r="E80" s="7" t="s">
        <v>497</v>
      </c>
      <c r="F80" s="7"/>
      <c r="G80" s="7"/>
      <c r="H80" s="6" t="s">
        <v>135</v>
      </c>
      <c r="I80" s="9" t="s">
        <v>498</v>
      </c>
      <c r="J80" s="10" t="s">
        <v>499</v>
      </c>
      <c r="K80" s="10"/>
      <c r="L80" s="10" t="s">
        <v>500</v>
      </c>
    </row>
    <row r="81" ht="95" customHeight="1" spans="1:12">
      <c r="A81" s="6" t="s">
        <v>501</v>
      </c>
      <c r="B81" s="7" t="s">
        <v>502</v>
      </c>
      <c r="C81" s="7"/>
      <c r="D81" s="7" t="s">
        <v>503</v>
      </c>
      <c r="E81" s="7" t="s">
        <v>504</v>
      </c>
      <c r="F81" s="7"/>
      <c r="G81" s="7"/>
      <c r="H81" s="6" t="s">
        <v>135</v>
      </c>
      <c r="I81" s="9" t="s">
        <v>505</v>
      </c>
      <c r="J81" s="10" t="s">
        <v>506</v>
      </c>
      <c r="K81" s="10"/>
      <c r="L81" s="10" t="s">
        <v>507</v>
      </c>
    </row>
    <row r="82" ht="95" customHeight="1" spans="1:12">
      <c r="A82" s="6" t="s">
        <v>508</v>
      </c>
      <c r="B82" s="7" t="s">
        <v>509</v>
      </c>
      <c r="C82" s="7"/>
      <c r="D82" s="7" t="s">
        <v>503</v>
      </c>
      <c r="E82" s="7" t="s">
        <v>510</v>
      </c>
      <c r="F82" s="7"/>
      <c r="G82" s="7"/>
      <c r="H82" s="6" t="s">
        <v>135</v>
      </c>
      <c r="I82" s="9" t="s">
        <v>511</v>
      </c>
      <c r="J82" s="10" t="s">
        <v>487</v>
      </c>
      <c r="K82" s="10"/>
      <c r="L82" s="10" t="s">
        <v>512</v>
      </c>
    </row>
    <row r="83" ht="95" customHeight="1" spans="1:12">
      <c r="A83" s="6" t="s">
        <v>513</v>
      </c>
      <c r="B83" s="7" t="s">
        <v>514</v>
      </c>
      <c r="C83" s="7"/>
      <c r="D83" s="7" t="s">
        <v>503</v>
      </c>
      <c r="E83" s="7" t="s">
        <v>515</v>
      </c>
      <c r="F83" s="7"/>
      <c r="G83" s="7"/>
      <c r="H83" s="6" t="s">
        <v>135</v>
      </c>
      <c r="I83" s="9" t="s">
        <v>516</v>
      </c>
      <c r="J83" s="10" t="s">
        <v>394</v>
      </c>
      <c r="K83" s="10"/>
      <c r="L83" s="10" t="s">
        <v>517</v>
      </c>
    </row>
    <row r="84" ht="80" customHeight="1" spans="1:12">
      <c r="A84" s="6" t="s">
        <v>518</v>
      </c>
      <c r="B84" s="7" t="s">
        <v>519</v>
      </c>
      <c r="C84" s="7"/>
      <c r="D84" s="7" t="s">
        <v>377</v>
      </c>
      <c r="E84" s="7" t="s">
        <v>378</v>
      </c>
      <c r="F84" s="7"/>
      <c r="G84" s="7"/>
      <c r="H84" s="6" t="s">
        <v>135</v>
      </c>
      <c r="I84" s="9" t="s">
        <v>256</v>
      </c>
      <c r="J84" s="10" t="s">
        <v>380</v>
      </c>
      <c r="K84" s="10"/>
      <c r="L84" s="10" t="s">
        <v>380</v>
      </c>
    </row>
    <row r="85" ht="80" customHeight="1" spans="1:12">
      <c r="A85" s="6" t="s">
        <v>520</v>
      </c>
      <c r="B85" s="7" t="s">
        <v>521</v>
      </c>
      <c r="C85" s="7"/>
      <c r="D85" s="7" t="s">
        <v>522</v>
      </c>
      <c r="E85" s="7" t="s">
        <v>523</v>
      </c>
      <c r="F85" s="7"/>
      <c r="G85" s="7"/>
      <c r="H85" s="6" t="s">
        <v>135</v>
      </c>
      <c r="I85" s="9" t="s">
        <v>524</v>
      </c>
      <c r="J85" s="10" t="s">
        <v>525</v>
      </c>
      <c r="K85" s="10"/>
      <c r="L85" s="10" t="s">
        <v>526</v>
      </c>
    </row>
    <row r="86" ht="110" customHeight="1" spans="1:12">
      <c r="A86" s="6" t="s">
        <v>527</v>
      </c>
      <c r="B86" s="7" t="s">
        <v>528</v>
      </c>
      <c r="C86" s="7"/>
      <c r="D86" s="7" t="s">
        <v>529</v>
      </c>
      <c r="E86" s="7" t="s">
        <v>530</v>
      </c>
      <c r="F86" s="7"/>
      <c r="G86" s="7"/>
      <c r="H86" s="6" t="s">
        <v>135</v>
      </c>
      <c r="I86" s="9" t="s">
        <v>531</v>
      </c>
      <c r="J86" s="10" t="s">
        <v>532</v>
      </c>
      <c r="K86" s="10"/>
      <c r="L86" s="10" t="s">
        <v>533</v>
      </c>
    </row>
    <row r="87" ht="110" customHeight="1" spans="1:12">
      <c r="A87" s="6" t="s">
        <v>534</v>
      </c>
      <c r="B87" s="7" t="s">
        <v>535</v>
      </c>
      <c r="C87" s="7"/>
      <c r="D87" s="7" t="s">
        <v>529</v>
      </c>
      <c r="E87" s="7" t="s">
        <v>536</v>
      </c>
      <c r="F87" s="7"/>
      <c r="G87" s="7"/>
      <c r="H87" s="6" t="s">
        <v>135</v>
      </c>
      <c r="I87" s="9" t="s">
        <v>531</v>
      </c>
      <c r="J87" s="10" t="s">
        <v>537</v>
      </c>
      <c r="K87" s="10"/>
      <c r="L87" s="10" t="s">
        <v>538</v>
      </c>
    </row>
    <row r="88" ht="110" customHeight="1" spans="1:12">
      <c r="A88" s="6" t="s">
        <v>539</v>
      </c>
      <c r="B88" s="7" t="s">
        <v>540</v>
      </c>
      <c r="C88" s="7"/>
      <c r="D88" s="7" t="s">
        <v>529</v>
      </c>
      <c r="E88" s="7" t="s">
        <v>541</v>
      </c>
      <c r="F88" s="7"/>
      <c r="G88" s="7"/>
      <c r="H88" s="6" t="s">
        <v>135</v>
      </c>
      <c r="I88" s="9" t="s">
        <v>531</v>
      </c>
      <c r="J88" s="10" t="s">
        <v>542</v>
      </c>
      <c r="K88" s="10"/>
      <c r="L88" s="10" t="s">
        <v>543</v>
      </c>
    </row>
    <row r="89" ht="110" customHeight="1" spans="1:12">
      <c r="A89" s="6" t="s">
        <v>544</v>
      </c>
      <c r="B89" s="7" t="s">
        <v>545</v>
      </c>
      <c r="C89" s="7"/>
      <c r="D89" s="7" t="s">
        <v>529</v>
      </c>
      <c r="E89" s="7" t="s">
        <v>546</v>
      </c>
      <c r="F89" s="7"/>
      <c r="G89" s="7"/>
      <c r="H89" s="6" t="s">
        <v>135</v>
      </c>
      <c r="I89" s="9" t="s">
        <v>531</v>
      </c>
      <c r="J89" s="10" t="s">
        <v>542</v>
      </c>
      <c r="K89" s="10"/>
      <c r="L89" s="10" t="s">
        <v>543</v>
      </c>
    </row>
    <row r="90" ht="80" customHeight="1" spans="1:12">
      <c r="A90" s="6" t="s">
        <v>547</v>
      </c>
      <c r="B90" s="7" t="s">
        <v>548</v>
      </c>
      <c r="C90" s="7"/>
      <c r="D90" s="7" t="s">
        <v>549</v>
      </c>
      <c r="E90" s="7" t="s">
        <v>550</v>
      </c>
      <c r="F90" s="7"/>
      <c r="G90" s="7"/>
      <c r="H90" s="6" t="s">
        <v>135</v>
      </c>
      <c r="I90" s="9" t="s">
        <v>551</v>
      </c>
      <c r="J90" s="10" t="s">
        <v>552</v>
      </c>
      <c r="K90" s="10"/>
      <c r="L90" s="10" t="s">
        <v>553</v>
      </c>
    </row>
    <row r="91" ht="95" customHeight="1" spans="1:12">
      <c r="A91" s="6" t="s">
        <v>554</v>
      </c>
      <c r="B91" s="7" t="s">
        <v>555</v>
      </c>
      <c r="C91" s="7"/>
      <c r="D91" s="7" t="s">
        <v>556</v>
      </c>
      <c r="E91" s="7" t="s">
        <v>557</v>
      </c>
      <c r="F91" s="7"/>
      <c r="G91" s="7"/>
      <c r="H91" s="6" t="s">
        <v>135</v>
      </c>
      <c r="I91" s="9" t="s">
        <v>558</v>
      </c>
      <c r="J91" s="10" t="s">
        <v>559</v>
      </c>
      <c r="K91" s="10"/>
      <c r="L91" s="10" t="s">
        <v>560</v>
      </c>
    </row>
    <row r="92" ht="80" customHeight="1" spans="1:12">
      <c r="A92" s="6" t="s">
        <v>561</v>
      </c>
      <c r="B92" s="7" t="s">
        <v>562</v>
      </c>
      <c r="C92" s="7"/>
      <c r="D92" s="7" t="s">
        <v>563</v>
      </c>
      <c r="E92" s="7" t="s">
        <v>564</v>
      </c>
      <c r="F92" s="7"/>
      <c r="G92" s="7"/>
      <c r="H92" s="6" t="s">
        <v>135</v>
      </c>
      <c r="I92" s="9" t="s">
        <v>565</v>
      </c>
      <c r="J92" s="10" t="s">
        <v>566</v>
      </c>
      <c r="K92" s="10"/>
      <c r="L92" s="10" t="s">
        <v>567</v>
      </c>
    </row>
    <row r="93" ht="80" customHeight="1" spans="1:12">
      <c r="A93" s="6" t="s">
        <v>568</v>
      </c>
      <c r="B93" s="7" t="s">
        <v>569</v>
      </c>
      <c r="C93" s="7"/>
      <c r="D93" s="7" t="s">
        <v>570</v>
      </c>
      <c r="E93" s="7" t="s">
        <v>571</v>
      </c>
      <c r="F93" s="7"/>
      <c r="G93" s="7"/>
      <c r="H93" s="6" t="s">
        <v>135</v>
      </c>
      <c r="I93" s="9" t="s">
        <v>572</v>
      </c>
      <c r="J93" s="10" t="s">
        <v>394</v>
      </c>
      <c r="K93" s="10"/>
      <c r="L93" s="10" t="s">
        <v>573</v>
      </c>
    </row>
    <row r="94" ht="23" customHeight="1" spans="1:12">
      <c r="A94" s="6" t="s">
        <v>53</v>
      </c>
      <c r="B94" s="7" t="s">
        <v>53</v>
      </c>
      <c r="C94" s="7"/>
      <c r="D94" s="7" t="s">
        <v>19</v>
      </c>
      <c r="E94" s="7" t="s">
        <v>53</v>
      </c>
      <c r="F94" s="7"/>
      <c r="G94" s="7"/>
      <c r="H94" s="6" t="s">
        <v>53</v>
      </c>
      <c r="I94" s="15" t="s">
        <v>53</v>
      </c>
      <c r="J94" s="10" t="s">
        <v>53</v>
      </c>
      <c r="K94" s="10"/>
      <c r="L94" s="10" t="s">
        <v>20</v>
      </c>
    </row>
    <row r="95" ht="23" customHeight="1" spans="1:12">
      <c r="A95" s="6" t="s">
        <v>53</v>
      </c>
      <c r="B95" s="7" t="s">
        <v>53</v>
      </c>
      <c r="C95" s="7"/>
      <c r="D95" s="7" t="s">
        <v>139</v>
      </c>
      <c r="E95" s="7" t="s">
        <v>53</v>
      </c>
      <c r="F95" s="7"/>
      <c r="G95" s="7"/>
      <c r="H95" s="6" t="s">
        <v>53</v>
      </c>
      <c r="I95" s="15" t="s">
        <v>53</v>
      </c>
      <c r="J95" s="10" t="s">
        <v>53</v>
      </c>
      <c r="K95" s="10"/>
      <c r="L95" s="10" t="s">
        <v>574</v>
      </c>
    </row>
    <row r="96" ht="409" customHeight="1" spans="1:12">
      <c r="A96" s="6" t="s">
        <v>575</v>
      </c>
      <c r="B96" s="7" t="s">
        <v>576</v>
      </c>
      <c r="C96" s="7"/>
      <c r="D96" s="7" t="s">
        <v>577</v>
      </c>
      <c r="E96" s="7" t="s">
        <v>578</v>
      </c>
      <c r="F96" s="7"/>
      <c r="G96" s="7"/>
      <c r="H96" s="6" t="s">
        <v>579</v>
      </c>
      <c r="I96" s="9" t="s">
        <v>580</v>
      </c>
      <c r="J96" s="10" t="s">
        <v>581</v>
      </c>
      <c r="K96" s="10"/>
      <c r="L96" s="10" t="s">
        <v>582</v>
      </c>
    </row>
    <row r="97" ht="12" customHeight="1" spans="1:19">
      <c r="A97" s="6"/>
      <c r="B97" s="7"/>
      <c r="C97" s="7"/>
      <c r="D97" s="7"/>
      <c r="E97" s="7"/>
      <c r="F97" s="7"/>
      <c r="G97" s="7"/>
      <c r="H97" s="6"/>
      <c r="I97" s="9"/>
      <c r="J97" s="10"/>
      <c r="K97" s="10"/>
      <c r="L97" s="10"/>
    </row>
    <row r="98" ht="409" customHeight="1" spans="1:19">
      <c r="A98" s="6" t="s">
        <v>583</v>
      </c>
      <c r="B98" s="7" t="s">
        <v>584</v>
      </c>
      <c r="C98" s="7"/>
      <c r="D98" s="7" t="s">
        <v>577</v>
      </c>
      <c r="E98" s="7" t="s">
        <v>585</v>
      </c>
      <c r="F98" s="7"/>
      <c r="G98" s="7"/>
      <c r="H98" s="6" t="s">
        <v>579</v>
      </c>
      <c r="I98" s="9" t="s">
        <v>586</v>
      </c>
      <c r="J98" s="10" t="s">
        <v>587</v>
      </c>
      <c r="K98" s="10"/>
      <c r="L98" s="10" t="s">
        <v>588</v>
      </c>
      <c r="N98">
        <v>880</v>
      </c>
      <c r="O98">
        <v>3150</v>
      </c>
      <c r="Q98">
        <f>(N98+O98)*1.05</f>
        <v>4231.5</v>
      </c>
      <c r="S98">
        <f>(J98-Q98)/J98</f>
        <v>-0.180354482920216</v>
      </c>
    </row>
    <row r="99" ht="12" customHeight="1" spans="1:19">
      <c r="A99" s="6"/>
      <c r="B99" s="7"/>
      <c r="C99" s="7"/>
      <c r="D99" s="7"/>
      <c r="E99" s="7"/>
      <c r="F99" s="7"/>
      <c r="G99" s="7"/>
      <c r="H99" s="6"/>
      <c r="I99" s="9"/>
      <c r="J99" s="10"/>
      <c r="K99" s="10"/>
      <c r="L99" s="10"/>
    </row>
    <row r="100" ht="409" customHeight="1" spans="1:19">
      <c r="A100" s="6" t="s">
        <v>589</v>
      </c>
      <c r="B100" s="7" t="s">
        <v>590</v>
      </c>
      <c r="C100" s="7"/>
      <c r="D100" s="7" t="s">
        <v>577</v>
      </c>
      <c r="E100" s="7" t="s">
        <v>591</v>
      </c>
      <c r="F100" s="7"/>
      <c r="G100" s="7"/>
      <c r="H100" s="6" t="s">
        <v>579</v>
      </c>
      <c r="I100" s="9" t="s">
        <v>592</v>
      </c>
      <c r="J100" s="10" t="s">
        <v>593</v>
      </c>
      <c r="K100" s="10"/>
      <c r="L100" s="10" t="s">
        <v>594</v>
      </c>
    </row>
    <row r="101" ht="12" customHeight="1" spans="1:19">
      <c r="A101" s="6"/>
      <c r="B101" s="7"/>
      <c r="C101" s="7"/>
      <c r="D101" s="7"/>
      <c r="E101" s="7"/>
      <c r="F101" s="7"/>
      <c r="G101" s="7"/>
      <c r="H101" s="6"/>
      <c r="I101" s="9"/>
      <c r="J101" s="10"/>
      <c r="K101" s="10"/>
      <c r="L101" s="10"/>
    </row>
    <row r="102" ht="409" customHeight="1" spans="1:19">
      <c r="A102" s="6" t="s">
        <v>595</v>
      </c>
      <c r="B102" s="7" t="s">
        <v>596</v>
      </c>
      <c r="C102" s="7"/>
      <c r="D102" s="7" t="s">
        <v>577</v>
      </c>
      <c r="E102" s="7" t="s">
        <v>597</v>
      </c>
      <c r="F102" s="7"/>
      <c r="G102" s="7"/>
      <c r="H102" s="6" t="s">
        <v>579</v>
      </c>
      <c r="I102" s="9" t="s">
        <v>598</v>
      </c>
      <c r="J102" s="10" t="s">
        <v>599</v>
      </c>
      <c r="K102" s="10"/>
      <c r="L102" s="10" t="s">
        <v>600</v>
      </c>
    </row>
    <row r="103" ht="12" customHeight="1" spans="1:19">
      <c r="A103" s="6"/>
      <c r="B103" s="7"/>
      <c r="C103" s="7"/>
      <c r="D103" s="7"/>
      <c r="E103" s="7"/>
      <c r="F103" s="7"/>
      <c r="G103" s="7"/>
      <c r="H103" s="6"/>
      <c r="I103" s="9"/>
      <c r="J103" s="10"/>
      <c r="K103" s="10"/>
      <c r="L103" s="10"/>
    </row>
    <row r="104" ht="409" customHeight="1" spans="1:19">
      <c r="A104" s="6" t="s">
        <v>601</v>
      </c>
      <c r="B104" s="7" t="s">
        <v>602</v>
      </c>
      <c r="C104" s="7"/>
      <c r="D104" s="7" t="s">
        <v>577</v>
      </c>
      <c r="E104" s="7" t="s">
        <v>603</v>
      </c>
      <c r="F104" s="7"/>
      <c r="G104" s="7"/>
      <c r="H104" s="6" t="s">
        <v>579</v>
      </c>
      <c r="I104" s="9" t="s">
        <v>604</v>
      </c>
      <c r="J104" s="10" t="s">
        <v>605</v>
      </c>
      <c r="K104" s="10"/>
      <c r="L104" s="10" t="s">
        <v>606</v>
      </c>
    </row>
    <row r="105" ht="12" customHeight="1" spans="1:19">
      <c r="A105" s="6"/>
      <c r="B105" s="7"/>
      <c r="C105" s="7"/>
      <c r="D105" s="7"/>
      <c r="E105" s="7"/>
      <c r="F105" s="7"/>
      <c r="G105" s="7"/>
      <c r="H105" s="6"/>
      <c r="I105" s="9"/>
      <c r="J105" s="10"/>
      <c r="K105" s="10"/>
      <c r="L105" s="10"/>
    </row>
    <row r="106" ht="409" customHeight="1" spans="1:19">
      <c r="A106" s="6" t="s">
        <v>607</v>
      </c>
      <c r="B106" s="7" t="s">
        <v>608</v>
      </c>
      <c r="C106" s="7"/>
      <c r="D106" s="7" t="s">
        <v>577</v>
      </c>
      <c r="E106" s="7" t="s">
        <v>609</v>
      </c>
      <c r="F106" s="7"/>
      <c r="G106" s="7"/>
      <c r="H106" s="6" t="s">
        <v>579</v>
      </c>
      <c r="I106" s="9" t="s">
        <v>610</v>
      </c>
      <c r="J106" s="10" t="s">
        <v>611</v>
      </c>
      <c r="K106" s="10"/>
      <c r="L106" s="10" t="s">
        <v>612</v>
      </c>
    </row>
    <row r="107" ht="12" customHeight="1" spans="1:19">
      <c r="A107" s="6"/>
      <c r="B107" s="7"/>
      <c r="C107" s="7"/>
      <c r="D107" s="7"/>
      <c r="E107" s="7"/>
      <c r="F107" s="7"/>
      <c r="G107" s="7"/>
      <c r="H107" s="6"/>
      <c r="I107" s="9"/>
      <c r="J107" s="10"/>
      <c r="K107" s="10"/>
      <c r="L107" s="10"/>
    </row>
    <row r="108" ht="409" customHeight="1" spans="1:19">
      <c r="A108" s="6" t="s">
        <v>613</v>
      </c>
      <c r="B108" s="7" t="s">
        <v>614</v>
      </c>
      <c r="C108" s="7"/>
      <c r="D108" s="7" t="s">
        <v>577</v>
      </c>
      <c r="E108" s="7" t="s">
        <v>615</v>
      </c>
      <c r="F108" s="7"/>
      <c r="G108" s="7"/>
      <c r="H108" s="6" t="s">
        <v>579</v>
      </c>
      <c r="I108" s="9" t="s">
        <v>616</v>
      </c>
      <c r="J108" s="10" t="s">
        <v>611</v>
      </c>
      <c r="K108" s="10"/>
      <c r="L108" s="10" t="s">
        <v>617</v>
      </c>
    </row>
    <row r="109" ht="12" customHeight="1" spans="1:19">
      <c r="A109" s="6"/>
      <c r="B109" s="7"/>
      <c r="C109" s="7"/>
      <c r="D109" s="7"/>
      <c r="E109" s="7"/>
      <c r="F109" s="7"/>
      <c r="G109" s="7"/>
      <c r="H109" s="6"/>
      <c r="I109" s="9"/>
      <c r="J109" s="10"/>
      <c r="K109" s="10"/>
      <c r="L109" s="10"/>
    </row>
    <row r="110" ht="409" customHeight="1" spans="1:19">
      <c r="A110" s="6" t="s">
        <v>618</v>
      </c>
      <c r="B110" s="7" t="s">
        <v>619</v>
      </c>
      <c r="C110" s="7"/>
      <c r="D110" s="7" t="s">
        <v>577</v>
      </c>
      <c r="E110" s="7" t="s">
        <v>620</v>
      </c>
      <c r="F110" s="7"/>
      <c r="G110" s="7"/>
      <c r="H110" s="6" t="s">
        <v>579</v>
      </c>
      <c r="I110" s="9" t="s">
        <v>621</v>
      </c>
      <c r="J110" s="10" t="s">
        <v>622</v>
      </c>
      <c r="K110" s="10"/>
      <c r="L110" s="10" t="s">
        <v>623</v>
      </c>
    </row>
    <row r="111" ht="12" customHeight="1" spans="1:19">
      <c r="A111" s="6"/>
      <c r="B111" s="7"/>
      <c r="C111" s="7"/>
      <c r="D111" s="7"/>
      <c r="E111" s="7"/>
      <c r="F111" s="7"/>
      <c r="G111" s="7"/>
      <c r="H111" s="6"/>
      <c r="I111" s="9"/>
      <c r="J111" s="10"/>
      <c r="K111" s="10"/>
      <c r="L111" s="10"/>
    </row>
    <row r="112" ht="409" customHeight="1" spans="1:19">
      <c r="A112" s="6" t="s">
        <v>624</v>
      </c>
      <c r="B112" s="7" t="s">
        <v>625</v>
      </c>
      <c r="C112" s="7"/>
      <c r="D112" s="7" t="s">
        <v>577</v>
      </c>
      <c r="E112" s="7" t="s">
        <v>626</v>
      </c>
      <c r="F112" s="7"/>
      <c r="G112" s="7"/>
      <c r="H112" s="6" t="s">
        <v>579</v>
      </c>
      <c r="I112" s="9" t="s">
        <v>627</v>
      </c>
      <c r="J112" s="10" t="s">
        <v>628</v>
      </c>
      <c r="K112" s="10"/>
      <c r="L112" s="10" t="s">
        <v>629</v>
      </c>
    </row>
    <row r="113" ht="12" customHeight="1" spans="1:12">
      <c r="A113" s="6"/>
      <c r="B113" s="7"/>
      <c r="C113" s="7"/>
      <c r="D113" s="7"/>
      <c r="E113" s="7"/>
      <c r="F113" s="7"/>
      <c r="G113" s="7"/>
      <c r="H113" s="6"/>
      <c r="I113" s="9"/>
      <c r="J113" s="10"/>
      <c r="K113" s="10"/>
      <c r="L113" s="10"/>
    </row>
    <row r="114" ht="405" customHeight="1" spans="1:12">
      <c r="A114" s="6" t="s">
        <v>630</v>
      </c>
      <c r="B114" s="7" t="s">
        <v>631</v>
      </c>
      <c r="C114" s="7"/>
      <c r="D114" s="7" t="s">
        <v>632</v>
      </c>
      <c r="E114" s="7" t="s">
        <v>633</v>
      </c>
      <c r="F114" s="7"/>
      <c r="G114" s="7"/>
      <c r="H114" s="6" t="s">
        <v>579</v>
      </c>
      <c r="I114" s="9" t="s">
        <v>634</v>
      </c>
      <c r="J114" s="10" t="s">
        <v>635</v>
      </c>
      <c r="K114" s="10"/>
      <c r="L114" s="10" t="s">
        <v>636</v>
      </c>
    </row>
    <row r="115" ht="405" customHeight="1" spans="1:12">
      <c r="A115" s="6" t="s">
        <v>637</v>
      </c>
      <c r="B115" s="7" t="s">
        <v>638</v>
      </c>
      <c r="C115" s="7"/>
      <c r="D115" s="7" t="s">
        <v>632</v>
      </c>
      <c r="E115" s="7" t="s">
        <v>639</v>
      </c>
      <c r="F115" s="7"/>
      <c r="G115" s="7"/>
      <c r="H115" s="6" t="s">
        <v>579</v>
      </c>
      <c r="I115" s="9" t="s">
        <v>640</v>
      </c>
      <c r="J115" s="10" t="s">
        <v>635</v>
      </c>
      <c r="K115" s="10"/>
      <c r="L115" s="10" t="s">
        <v>641</v>
      </c>
    </row>
    <row r="116" ht="405" customHeight="1" spans="1:12">
      <c r="A116" s="6" t="s">
        <v>642</v>
      </c>
      <c r="B116" s="7" t="s">
        <v>643</v>
      </c>
      <c r="C116" s="7"/>
      <c r="D116" s="7" t="s">
        <v>632</v>
      </c>
      <c r="E116" s="7" t="s">
        <v>644</v>
      </c>
      <c r="F116" s="7"/>
      <c r="G116" s="7"/>
      <c r="H116" s="6" t="s">
        <v>579</v>
      </c>
      <c r="I116" s="9" t="s">
        <v>645</v>
      </c>
      <c r="J116" s="10" t="s">
        <v>646</v>
      </c>
      <c r="K116" s="10"/>
      <c r="L116" s="10" t="s">
        <v>647</v>
      </c>
    </row>
    <row r="117" ht="405" customHeight="1" spans="1:12">
      <c r="A117" s="6" t="s">
        <v>648</v>
      </c>
      <c r="B117" s="7" t="s">
        <v>649</v>
      </c>
      <c r="C117" s="7"/>
      <c r="D117" s="7" t="s">
        <v>632</v>
      </c>
      <c r="E117" s="7" t="s">
        <v>650</v>
      </c>
      <c r="F117" s="7"/>
      <c r="G117" s="7"/>
      <c r="H117" s="6" t="s">
        <v>579</v>
      </c>
      <c r="I117" s="9" t="s">
        <v>651</v>
      </c>
      <c r="J117" s="10" t="s">
        <v>652</v>
      </c>
      <c r="K117" s="10"/>
      <c r="L117" s="10" t="s">
        <v>653</v>
      </c>
    </row>
    <row r="118" ht="405" customHeight="1" spans="1:12">
      <c r="A118" s="6" t="s">
        <v>654</v>
      </c>
      <c r="B118" s="7" t="s">
        <v>655</v>
      </c>
      <c r="C118" s="7"/>
      <c r="D118" s="7" t="s">
        <v>632</v>
      </c>
      <c r="E118" s="7" t="s">
        <v>656</v>
      </c>
      <c r="F118" s="7"/>
      <c r="G118" s="7"/>
      <c r="H118" s="6" t="s">
        <v>579</v>
      </c>
      <c r="I118" s="9" t="s">
        <v>657</v>
      </c>
      <c r="J118" s="10" t="s">
        <v>658</v>
      </c>
      <c r="K118" s="10"/>
      <c r="L118" s="10" t="s">
        <v>659</v>
      </c>
    </row>
    <row r="119" ht="409" customHeight="1" spans="1:12">
      <c r="A119" s="6" t="s">
        <v>660</v>
      </c>
      <c r="B119" s="7" t="s">
        <v>661</v>
      </c>
      <c r="C119" s="7"/>
      <c r="D119" s="7" t="s">
        <v>662</v>
      </c>
      <c r="E119" s="7" t="s">
        <v>663</v>
      </c>
      <c r="F119" s="7"/>
      <c r="G119" s="7"/>
      <c r="H119" s="6" t="s">
        <v>579</v>
      </c>
      <c r="I119" s="9" t="s">
        <v>664</v>
      </c>
      <c r="J119" s="10" t="s">
        <v>665</v>
      </c>
      <c r="K119" s="10"/>
      <c r="L119" s="10" t="s">
        <v>666</v>
      </c>
    </row>
    <row r="120" ht="12" customHeight="1" spans="1:12">
      <c r="A120" s="6"/>
      <c r="B120" s="7"/>
      <c r="C120" s="7"/>
      <c r="D120" s="7"/>
      <c r="E120" s="7"/>
      <c r="F120" s="7"/>
      <c r="G120" s="7"/>
      <c r="H120" s="6"/>
      <c r="I120" s="9"/>
      <c r="J120" s="10"/>
      <c r="K120" s="10"/>
      <c r="L120" s="10"/>
    </row>
    <row r="121" ht="409" customHeight="1" spans="1:12">
      <c r="A121" s="6" t="s">
        <v>667</v>
      </c>
      <c r="B121" s="7" t="s">
        <v>668</v>
      </c>
      <c r="C121" s="7"/>
      <c r="D121" s="7" t="s">
        <v>662</v>
      </c>
      <c r="E121" s="7" t="s">
        <v>578</v>
      </c>
      <c r="F121" s="7"/>
      <c r="G121" s="7"/>
      <c r="H121" s="6" t="s">
        <v>579</v>
      </c>
      <c r="I121" s="9" t="s">
        <v>669</v>
      </c>
      <c r="J121" s="10" t="s">
        <v>670</v>
      </c>
      <c r="K121" s="10"/>
      <c r="L121" s="10" t="s">
        <v>671</v>
      </c>
    </row>
    <row r="122" ht="12" customHeight="1" spans="1:12">
      <c r="A122" s="6"/>
      <c r="B122" s="7"/>
      <c r="C122" s="7"/>
      <c r="D122" s="7"/>
      <c r="E122" s="7"/>
      <c r="F122" s="7"/>
      <c r="G122" s="7"/>
      <c r="H122" s="6"/>
      <c r="I122" s="9"/>
      <c r="J122" s="10"/>
      <c r="K122" s="10"/>
      <c r="L122" s="10"/>
    </row>
    <row r="123" ht="409" customHeight="1" spans="1:12">
      <c r="A123" s="6" t="s">
        <v>672</v>
      </c>
      <c r="B123" s="7" t="s">
        <v>673</v>
      </c>
      <c r="C123" s="7"/>
      <c r="D123" s="7" t="s">
        <v>662</v>
      </c>
      <c r="E123" s="7" t="s">
        <v>585</v>
      </c>
      <c r="F123" s="7"/>
      <c r="G123" s="7"/>
      <c r="H123" s="6" t="s">
        <v>579</v>
      </c>
      <c r="I123" s="9" t="s">
        <v>674</v>
      </c>
      <c r="J123" s="10" t="s">
        <v>675</v>
      </c>
      <c r="K123" s="10"/>
      <c r="L123" s="10" t="s">
        <v>676</v>
      </c>
    </row>
    <row r="124" ht="12" customHeight="1" spans="1:12">
      <c r="A124" s="6"/>
      <c r="B124" s="7"/>
      <c r="C124" s="7"/>
      <c r="D124" s="7"/>
      <c r="E124" s="7"/>
      <c r="F124" s="7"/>
      <c r="G124" s="7"/>
      <c r="H124" s="6"/>
      <c r="I124" s="9"/>
      <c r="J124" s="10"/>
      <c r="K124" s="10"/>
      <c r="L124" s="10"/>
    </row>
    <row r="125" ht="409" customHeight="1" spans="1:12">
      <c r="A125" s="6" t="s">
        <v>677</v>
      </c>
      <c r="B125" s="7" t="s">
        <v>678</v>
      </c>
      <c r="C125" s="7"/>
      <c r="D125" s="7" t="s">
        <v>662</v>
      </c>
      <c r="E125" s="7" t="s">
        <v>679</v>
      </c>
      <c r="F125" s="7"/>
      <c r="G125" s="7"/>
      <c r="H125" s="6" t="s">
        <v>579</v>
      </c>
      <c r="I125" s="9" t="s">
        <v>680</v>
      </c>
      <c r="J125" s="10" t="s">
        <v>681</v>
      </c>
      <c r="K125" s="10"/>
      <c r="L125" s="10" t="s">
        <v>682</v>
      </c>
    </row>
    <row r="126" ht="12" customHeight="1" spans="1:12">
      <c r="A126" s="6"/>
      <c r="B126" s="7"/>
      <c r="C126" s="7"/>
      <c r="D126" s="7"/>
      <c r="E126" s="7"/>
      <c r="F126" s="7"/>
      <c r="G126" s="7"/>
      <c r="H126" s="6"/>
      <c r="I126" s="9"/>
      <c r="J126" s="10"/>
      <c r="K126" s="10"/>
      <c r="L126" s="10"/>
    </row>
    <row r="127" ht="95" customHeight="1" spans="1:12">
      <c r="A127" s="6" t="s">
        <v>683</v>
      </c>
      <c r="B127" s="7" t="s">
        <v>684</v>
      </c>
      <c r="C127" s="7"/>
      <c r="D127" s="7" t="s">
        <v>685</v>
      </c>
      <c r="E127" s="7" t="s">
        <v>686</v>
      </c>
      <c r="F127" s="7"/>
      <c r="G127" s="7"/>
      <c r="H127" s="6" t="s">
        <v>687</v>
      </c>
      <c r="I127" s="9" t="s">
        <v>688</v>
      </c>
      <c r="J127" s="10" t="s">
        <v>689</v>
      </c>
      <c r="K127" s="10"/>
      <c r="L127" s="10" t="s">
        <v>690</v>
      </c>
    </row>
    <row r="128" ht="95" customHeight="1" spans="1:12">
      <c r="A128" s="6" t="s">
        <v>691</v>
      </c>
      <c r="B128" s="7" t="s">
        <v>692</v>
      </c>
      <c r="C128" s="7"/>
      <c r="D128" s="7" t="s">
        <v>685</v>
      </c>
      <c r="E128" s="7" t="s">
        <v>693</v>
      </c>
      <c r="F128" s="7"/>
      <c r="G128" s="7"/>
      <c r="H128" s="6" t="s">
        <v>687</v>
      </c>
      <c r="I128" s="9" t="s">
        <v>694</v>
      </c>
      <c r="J128" s="10" t="s">
        <v>695</v>
      </c>
      <c r="K128" s="10"/>
      <c r="L128" s="10" t="s">
        <v>696</v>
      </c>
    </row>
    <row r="129" ht="95" customHeight="1" spans="1:12">
      <c r="A129" s="6" t="s">
        <v>697</v>
      </c>
      <c r="B129" s="7" t="s">
        <v>698</v>
      </c>
      <c r="C129" s="7"/>
      <c r="D129" s="7" t="s">
        <v>685</v>
      </c>
      <c r="E129" s="7" t="s">
        <v>699</v>
      </c>
      <c r="F129" s="7"/>
      <c r="G129" s="7"/>
      <c r="H129" s="6" t="s">
        <v>687</v>
      </c>
      <c r="I129" s="9" t="s">
        <v>700</v>
      </c>
      <c r="J129" s="10" t="s">
        <v>701</v>
      </c>
      <c r="K129" s="10"/>
      <c r="L129" s="10" t="s">
        <v>702</v>
      </c>
    </row>
    <row r="130" ht="95" customHeight="1" spans="1:12">
      <c r="A130" s="6" t="s">
        <v>703</v>
      </c>
      <c r="B130" s="7" t="s">
        <v>704</v>
      </c>
      <c r="C130" s="7"/>
      <c r="D130" s="7" t="s">
        <v>685</v>
      </c>
      <c r="E130" s="7" t="s">
        <v>705</v>
      </c>
      <c r="F130" s="7"/>
      <c r="G130" s="7"/>
      <c r="H130" s="6" t="s">
        <v>687</v>
      </c>
      <c r="I130" s="9" t="s">
        <v>706</v>
      </c>
      <c r="J130" s="10" t="s">
        <v>707</v>
      </c>
      <c r="K130" s="10"/>
      <c r="L130" s="10" t="s">
        <v>708</v>
      </c>
    </row>
    <row r="131" ht="95" customHeight="1" spans="1:12">
      <c r="A131" s="6" t="s">
        <v>709</v>
      </c>
      <c r="B131" s="7" t="s">
        <v>710</v>
      </c>
      <c r="C131" s="7"/>
      <c r="D131" s="7" t="s">
        <v>685</v>
      </c>
      <c r="E131" s="7" t="s">
        <v>711</v>
      </c>
      <c r="F131" s="7"/>
      <c r="G131" s="7"/>
      <c r="H131" s="6" t="s">
        <v>687</v>
      </c>
      <c r="I131" s="9" t="s">
        <v>712</v>
      </c>
      <c r="J131" s="10" t="s">
        <v>713</v>
      </c>
      <c r="K131" s="10"/>
      <c r="L131" s="10" t="s">
        <v>714</v>
      </c>
    </row>
    <row r="132" ht="95" customHeight="1" spans="1:12">
      <c r="A132" s="6" t="s">
        <v>715</v>
      </c>
      <c r="B132" s="7" t="s">
        <v>716</v>
      </c>
      <c r="C132" s="7"/>
      <c r="D132" s="7" t="s">
        <v>685</v>
      </c>
      <c r="E132" s="7" t="s">
        <v>717</v>
      </c>
      <c r="F132" s="7"/>
      <c r="G132" s="7"/>
      <c r="H132" s="6" t="s">
        <v>687</v>
      </c>
      <c r="I132" s="9" t="s">
        <v>718</v>
      </c>
      <c r="J132" s="10" t="s">
        <v>719</v>
      </c>
      <c r="K132" s="10"/>
      <c r="L132" s="10" t="s">
        <v>720</v>
      </c>
    </row>
    <row r="133" ht="95" customHeight="1" spans="1:12">
      <c r="A133" s="6" t="s">
        <v>721</v>
      </c>
      <c r="B133" s="7" t="s">
        <v>722</v>
      </c>
      <c r="C133" s="7"/>
      <c r="D133" s="7" t="s">
        <v>685</v>
      </c>
      <c r="E133" s="7" t="s">
        <v>723</v>
      </c>
      <c r="F133" s="7"/>
      <c r="G133" s="7"/>
      <c r="H133" s="6" t="s">
        <v>687</v>
      </c>
      <c r="I133" s="9" t="s">
        <v>724</v>
      </c>
      <c r="J133" s="10" t="s">
        <v>725</v>
      </c>
      <c r="K133" s="10"/>
      <c r="L133" s="10" t="s">
        <v>726</v>
      </c>
    </row>
    <row r="134" ht="23" customHeight="1" spans="1:12">
      <c r="A134" s="6" t="s">
        <v>53</v>
      </c>
      <c r="B134" s="7" t="s">
        <v>53</v>
      </c>
      <c r="C134" s="7"/>
      <c r="D134" s="7" t="s">
        <v>201</v>
      </c>
      <c r="E134" s="7" t="s">
        <v>53</v>
      </c>
      <c r="F134" s="7"/>
      <c r="G134" s="7"/>
      <c r="H134" s="6" t="s">
        <v>53</v>
      </c>
      <c r="I134" s="15" t="s">
        <v>53</v>
      </c>
      <c r="J134" s="10" t="s">
        <v>53</v>
      </c>
      <c r="K134" s="10"/>
      <c r="L134" s="10" t="s">
        <v>727</v>
      </c>
    </row>
    <row r="135" ht="183" customHeight="1" spans="1:12">
      <c r="A135" s="6" t="s">
        <v>728</v>
      </c>
      <c r="B135" s="7" t="s">
        <v>729</v>
      </c>
      <c r="C135" s="7"/>
      <c r="D135" s="7" t="s">
        <v>577</v>
      </c>
      <c r="E135" s="7" t="s">
        <v>730</v>
      </c>
      <c r="F135" s="7"/>
      <c r="G135" s="7"/>
      <c r="H135" s="6" t="s">
        <v>579</v>
      </c>
      <c r="I135" s="9" t="s">
        <v>731</v>
      </c>
      <c r="J135" s="10" t="s">
        <v>732</v>
      </c>
      <c r="K135" s="10"/>
      <c r="L135" s="10" t="s">
        <v>733</v>
      </c>
    </row>
    <row r="136" ht="183" customHeight="1" spans="1:12">
      <c r="A136" s="6" t="s">
        <v>734</v>
      </c>
      <c r="B136" s="7" t="s">
        <v>735</v>
      </c>
      <c r="C136" s="7"/>
      <c r="D136" s="7" t="s">
        <v>577</v>
      </c>
      <c r="E136" s="7" t="s">
        <v>736</v>
      </c>
      <c r="F136" s="7"/>
      <c r="G136" s="7"/>
      <c r="H136" s="6" t="s">
        <v>579</v>
      </c>
      <c r="I136" s="9" t="s">
        <v>737</v>
      </c>
      <c r="J136" s="10" t="s">
        <v>738</v>
      </c>
      <c r="K136" s="10"/>
      <c r="L136" s="10" t="s">
        <v>739</v>
      </c>
    </row>
    <row r="137" ht="183" customHeight="1" spans="1:12">
      <c r="A137" s="6" t="s">
        <v>740</v>
      </c>
      <c r="B137" s="7" t="s">
        <v>741</v>
      </c>
      <c r="C137" s="7"/>
      <c r="D137" s="7" t="s">
        <v>577</v>
      </c>
      <c r="E137" s="7" t="s">
        <v>742</v>
      </c>
      <c r="F137" s="7"/>
      <c r="G137" s="7"/>
      <c r="H137" s="6" t="s">
        <v>579</v>
      </c>
      <c r="I137" s="9" t="s">
        <v>743</v>
      </c>
      <c r="J137" s="10" t="s">
        <v>744</v>
      </c>
      <c r="K137" s="10"/>
      <c r="L137" s="10" t="s">
        <v>745</v>
      </c>
    </row>
    <row r="138" ht="183" customHeight="1" spans="1:12">
      <c r="A138" s="6" t="s">
        <v>746</v>
      </c>
      <c r="B138" s="7" t="s">
        <v>747</v>
      </c>
      <c r="C138" s="7"/>
      <c r="D138" s="7" t="s">
        <v>577</v>
      </c>
      <c r="E138" s="7" t="s">
        <v>748</v>
      </c>
      <c r="F138" s="7"/>
      <c r="G138" s="7"/>
      <c r="H138" s="6" t="s">
        <v>579</v>
      </c>
      <c r="I138" s="9" t="s">
        <v>749</v>
      </c>
      <c r="J138" s="10" t="s">
        <v>750</v>
      </c>
      <c r="K138" s="10"/>
      <c r="L138" s="10" t="s">
        <v>751</v>
      </c>
    </row>
    <row r="139" ht="183" customHeight="1" spans="1:12">
      <c r="A139" s="6" t="s">
        <v>752</v>
      </c>
      <c r="B139" s="7" t="s">
        <v>753</v>
      </c>
      <c r="C139" s="7"/>
      <c r="D139" s="7" t="s">
        <v>577</v>
      </c>
      <c r="E139" s="7" t="s">
        <v>754</v>
      </c>
      <c r="F139" s="7"/>
      <c r="G139" s="7"/>
      <c r="H139" s="6" t="s">
        <v>579</v>
      </c>
      <c r="I139" s="9" t="s">
        <v>755</v>
      </c>
      <c r="J139" s="10" t="s">
        <v>756</v>
      </c>
      <c r="K139" s="10"/>
      <c r="L139" s="10" t="s">
        <v>757</v>
      </c>
    </row>
    <row r="140" ht="183" customHeight="1" spans="1:12">
      <c r="A140" s="6" t="s">
        <v>758</v>
      </c>
      <c r="B140" s="7" t="s">
        <v>759</v>
      </c>
      <c r="C140" s="7"/>
      <c r="D140" s="7" t="s">
        <v>577</v>
      </c>
      <c r="E140" s="7" t="s">
        <v>760</v>
      </c>
      <c r="F140" s="7"/>
      <c r="G140" s="7"/>
      <c r="H140" s="6" t="s">
        <v>579</v>
      </c>
      <c r="I140" s="9" t="s">
        <v>761</v>
      </c>
      <c r="J140" s="10" t="s">
        <v>762</v>
      </c>
      <c r="K140" s="10"/>
      <c r="L140" s="10" t="s">
        <v>763</v>
      </c>
    </row>
    <row r="141" ht="183" customHeight="1" spans="1:12">
      <c r="A141" s="6" t="s">
        <v>764</v>
      </c>
      <c r="B141" s="7" t="s">
        <v>765</v>
      </c>
      <c r="C141" s="7"/>
      <c r="D141" s="7" t="s">
        <v>577</v>
      </c>
      <c r="E141" s="7" t="s">
        <v>766</v>
      </c>
      <c r="F141" s="7"/>
      <c r="G141" s="7"/>
      <c r="H141" s="6" t="s">
        <v>579</v>
      </c>
      <c r="I141" s="9" t="s">
        <v>767</v>
      </c>
      <c r="J141" s="10" t="s">
        <v>768</v>
      </c>
      <c r="K141" s="10"/>
      <c r="L141" s="10" t="s">
        <v>769</v>
      </c>
    </row>
    <row r="142" ht="183" customHeight="1" spans="1:12">
      <c r="A142" s="6" t="s">
        <v>770</v>
      </c>
      <c r="B142" s="7" t="s">
        <v>771</v>
      </c>
      <c r="C142" s="7"/>
      <c r="D142" s="7" t="s">
        <v>577</v>
      </c>
      <c r="E142" s="7" t="s">
        <v>772</v>
      </c>
      <c r="F142" s="7"/>
      <c r="G142" s="7"/>
      <c r="H142" s="6" t="s">
        <v>579</v>
      </c>
      <c r="I142" s="9" t="s">
        <v>773</v>
      </c>
      <c r="J142" s="10" t="s">
        <v>774</v>
      </c>
      <c r="K142" s="10"/>
      <c r="L142" s="10" t="s">
        <v>775</v>
      </c>
    </row>
    <row r="143" ht="139" customHeight="1" spans="1:12">
      <c r="A143" s="6" t="s">
        <v>776</v>
      </c>
      <c r="B143" s="7" t="s">
        <v>777</v>
      </c>
      <c r="C143" s="7"/>
      <c r="D143" s="7" t="s">
        <v>632</v>
      </c>
      <c r="E143" s="7" t="s">
        <v>778</v>
      </c>
      <c r="F143" s="7"/>
      <c r="G143" s="7"/>
      <c r="H143" s="6" t="s">
        <v>579</v>
      </c>
      <c r="I143" s="9" t="s">
        <v>779</v>
      </c>
      <c r="J143" s="10" t="s">
        <v>780</v>
      </c>
      <c r="K143" s="10"/>
      <c r="L143" s="10" t="s">
        <v>781</v>
      </c>
    </row>
    <row r="144" ht="139" customHeight="1" spans="1:12">
      <c r="A144" s="6" t="s">
        <v>782</v>
      </c>
      <c r="B144" s="7" t="s">
        <v>783</v>
      </c>
      <c r="C144" s="7"/>
      <c r="D144" s="7" t="s">
        <v>632</v>
      </c>
      <c r="E144" s="7" t="s">
        <v>784</v>
      </c>
      <c r="F144" s="7"/>
      <c r="G144" s="7"/>
      <c r="H144" s="6" t="s">
        <v>579</v>
      </c>
      <c r="I144" s="9" t="s">
        <v>785</v>
      </c>
      <c r="J144" s="10" t="s">
        <v>786</v>
      </c>
      <c r="K144" s="10"/>
      <c r="L144" s="10" t="s">
        <v>787</v>
      </c>
    </row>
    <row r="145" ht="139" customHeight="1" spans="1:12">
      <c r="A145" s="6" t="s">
        <v>788</v>
      </c>
      <c r="B145" s="7" t="s">
        <v>789</v>
      </c>
      <c r="C145" s="7"/>
      <c r="D145" s="7" t="s">
        <v>632</v>
      </c>
      <c r="E145" s="7" t="s">
        <v>790</v>
      </c>
      <c r="F145" s="7"/>
      <c r="G145" s="7"/>
      <c r="H145" s="6" t="s">
        <v>579</v>
      </c>
      <c r="I145" s="9" t="s">
        <v>791</v>
      </c>
      <c r="J145" s="10" t="s">
        <v>792</v>
      </c>
      <c r="K145" s="10"/>
      <c r="L145" s="10" t="s">
        <v>793</v>
      </c>
    </row>
    <row r="146" ht="139" customHeight="1" spans="1:12">
      <c r="A146" s="6" t="s">
        <v>794</v>
      </c>
      <c r="B146" s="7" t="s">
        <v>795</v>
      </c>
      <c r="C146" s="7"/>
      <c r="D146" s="7" t="s">
        <v>632</v>
      </c>
      <c r="E146" s="7" t="s">
        <v>796</v>
      </c>
      <c r="F146" s="7"/>
      <c r="G146" s="7"/>
      <c r="H146" s="6" t="s">
        <v>579</v>
      </c>
      <c r="I146" s="9" t="s">
        <v>797</v>
      </c>
      <c r="J146" s="10" t="s">
        <v>798</v>
      </c>
      <c r="K146" s="10"/>
      <c r="L146" s="10" t="s">
        <v>799</v>
      </c>
    </row>
    <row r="147" ht="139" customHeight="1" spans="1:12">
      <c r="A147" s="6" t="s">
        <v>800</v>
      </c>
      <c r="B147" s="7" t="s">
        <v>801</v>
      </c>
      <c r="C147" s="7"/>
      <c r="D147" s="7" t="s">
        <v>632</v>
      </c>
      <c r="E147" s="7" t="s">
        <v>802</v>
      </c>
      <c r="F147" s="7"/>
      <c r="G147" s="7"/>
      <c r="H147" s="6" t="s">
        <v>579</v>
      </c>
      <c r="I147" s="9" t="s">
        <v>803</v>
      </c>
      <c r="J147" s="10" t="s">
        <v>804</v>
      </c>
      <c r="K147" s="10"/>
      <c r="L147" s="10" t="s">
        <v>805</v>
      </c>
    </row>
    <row r="148" ht="139" customHeight="1" spans="1:12">
      <c r="A148" s="6" t="s">
        <v>806</v>
      </c>
      <c r="B148" s="7" t="s">
        <v>807</v>
      </c>
      <c r="C148" s="7"/>
      <c r="D148" s="7" t="s">
        <v>632</v>
      </c>
      <c r="E148" s="7" t="s">
        <v>808</v>
      </c>
      <c r="F148" s="7"/>
      <c r="G148" s="7"/>
      <c r="H148" s="6" t="s">
        <v>579</v>
      </c>
      <c r="I148" s="9" t="s">
        <v>809</v>
      </c>
      <c r="J148" s="10" t="s">
        <v>810</v>
      </c>
      <c r="K148" s="10"/>
      <c r="L148" s="10" t="s">
        <v>811</v>
      </c>
    </row>
    <row r="149" ht="139" customHeight="1" spans="1:12">
      <c r="A149" s="6" t="s">
        <v>812</v>
      </c>
      <c r="B149" s="7" t="s">
        <v>813</v>
      </c>
      <c r="C149" s="7"/>
      <c r="D149" s="7" t="s">
        <v>632</v>
      </c>
      <c r="E149" s="7" t="s">
        <v>814</v>
      </c>
      <c r="F149" s="7"/>
      <c r="G149" s="7"/>
      <c r="H149" s="6" t="s">
        <v>579</v>
      </c>
      <c r="I149" s="9" t="s">
        <v>815</v>
      </c>
      <c r="J149" s="10" t="s">
        <v>810</v>
      </c>
      <c r="K149" s="10"/>
      <c r="L149" s="10" t="s">
        <v>816</v>
      </c>
    </row>
    <row r="150" ht="139" customHeight="1" spans="1:12">
      <c r="A150" s="6" t="s">
        <v>817</v>
      </c>
      <c r="B150" s="7" t="s">
        <v>818</v>
      </c>
      <c r="C150" s="7"/>
      <c r="D150" s="7" t="s">
        <v>632</v>
      </c>
      <c r="E150" s="7" t="s">
        <v>819</v>
      </c>
      <c r="F150" s="7"/>
      <c r="G150" s="7"/>
      <c r="H150" s="6" t="s">
        <v>579</v>
      </c>
      <c r="I150" s="9" t="s">
        <v>820</v>
      </c>
      <c r="J150" s="10" t="s">
        <v>821</v>
      </c>
      <c r="K150" s="10"/>
      <c r="L150" s="10" t="s">
        <v>822</v>
      </c>
    </row>
    <row r="151" ht="139" customHeight="1" spans="1:12">
      <c r="A151" s="6" t="s">
        <v>823</v>
      </c>
      <c r="B151" s="7" t="s">
        <v>824</v>
      </c>
      <c r="C151" s="7"/>
      <c r="D151" s="7" t="s">
        <v>632</v>
      </c>
      <c r="E151" s="7" t="s">
        <v>825</v>
      </c>
      <c r="F151" s="7"/>
      <c r="G151" s="7"/>
      <c r="H151" s="6" t="s">
        <v>579</v>
      </c>
      <c r="I151" s="9" t="s">
        <v>826</v>
      </c>
      <c r="J151" s="10" t="s">
        <v>827</v>
      </c>
      <c r="K151" s="10"/>
      <c r="L151" s="10" t="s">
        <v>828</v>
      </c>
    </row>
    <row r="152" ht="139" customHeight="1" spans="1:12">
      <c r="A152" s="6" t="s">
        <v>829</v>
      </c>
      <c r="B152" s="7" t="s">
        <v>830</v>
      </c>
      <c r="C152" s="7"/>
      <c r="D152" s="7" t="s">
        <v>632</v>
      </c>
      <c r="E152" s="7" t="s">
        <v>831</v>
      </c>
      <c r="F152" s="7"/>
      <c r="G152" s="7"/>
      <c r="H152" s="6" t="s">
        <v>579</v>
      </c>
      <c r="I152" s="9" t="s">
        <v>832</v>
      </c>
      <c r="J152" s="10" t="s">
        <v>658</v>
      </c>
      <c r="K152" s="10"/>
      <c r="L152" s="10" t="s">
        <v>833</v>
      </c>
    </row>
    <row r="153" ht="139" customHeight="1" spans="1:12">
      <c r="A153" s="6" t="s">
        <v>834</v>
      </c>
      <c r="B153" s="7" t="s">
        <v>835</v>
      </c>
      <c r="C153" s="7"/>
      <c r="D153" s="7" t="s">
        <v>632</v>
      </c>
      <c r="E153" s="7" t="s">
        <v>836</v>
      </c>
      <c r="F153" s="7"/>
      <c r="G153" s="7"/>
      <c r="H153" s="6" t="s">
        <v>579</v>
      </c>
      <c r="I153" s="9" t="s">
        <v>837</v>
      </c>
      <c r="J153" s="10" t="s">
        <v>838</v>
      </c>
      <c r="K153" s="10"/>
      <c r="L153" s="10" t="s">
        <v>839</v>
      </c>
    </row>
    <row r="154" ht="139" customHeight="1" spans="1:12">
      <c r="A154" s="6" t="s">
        <v>840</v>
      </c>
      <c r="B154" s="7" t="s">
        <v>841</v>
      </c>
      <c r="C154" s="7"/>
      <c r="D154" s="7" t="s">
        <v>632</v>
      </c>
      <c r="E154" s="7" t="s">
        <v>842</v>
      </c>
      <c r="F154" s="7"/>
      <c r="G154" s="7"/>
      <c r="H154" s="6" t="s">
        <v>579</v>
      </c>
      <c r="I154" s="9" t="s">
        <v>843</v>
      </c>
      <c r="J154" s="10" t="s">
        <v>844</v>
      </c>
      <c r="K154" s="10"/>
      <c r="L154" s="10" t="s">
        <v>845</v>
      </c>
    </row>
    <row r="155" ht="139" customHeight="1" spans="1:12">
      <c r="A155" s="6" t="s">
        <v>846</v>
      </c>
      <c r="B155" s="7" t="s">
        <v>847</v>
      </c>
      <c r="C155" s="7"/>
      <c r="D155" s="7" t="s">
        <v>632</v>
      </c>
      <c r="E155" s="7" t="s">
        <v>848</v>
      </c>
      <c r="F155" s="7"/>
      <c r="G155" s="7"/>
      <c r="H155" s="6" t="s">
        <v>579</v>
      </c>
      <c r="I155" s="9" t="s">
        <v>849</v>
      </c>
      <c r="J155" s="10" t="s">
        <v>850</v>
      </c>
      <c r="K155" s="10"/>
      <c r="L155" s="10" t="s">
        <v>851</v>
      </c>
    </row>
    <row r="156" ht="139" customHeight="1" spans="1:12">
      <c r="A156" s="6" t="s">
        <v>852</v>
      </c>
      <c r="B156" s="7" t="s">
        <v>853</v>
      </c>
      <c r="C156" s="7"/>
      <c r="D156" s="7" t="s">
        <v>632</v>
      </c>
      <c r="E156" s="7" t="s">
        <v>854</v>
      </c>
      <c r="F156" s="7"/>
      <c r="G156" s="7"/>
      <c r="H156" s="6" t="s">
        <v>579</v>
      </c>
      <c r="I156" s="9" t="s">
        <v>855</v>
      </c>
      <c r="J156" s="10" t="s">
        <v>856</v>
      </c>
      <c r="K156" s="10"/>
      <c r="L156" s="10" t="s">
        <v>857</v>
      </c>
    </row>
    <row r="157" ht="139" customHeight="1" spans="1:12">
      <c r="A157" s="6" t="s">
        <v>858</v>
      </c>
      <c r="B157" s="7" t="s">
        <v>859</v>
      </c>
      <c r="C157" s="7"/>
      <c r="D157" s="7" t="s">
        <v>632</v>
      </c>
      <c r="E157" s="7" t="s">
        <v>860</v>
      </c>
      <c r="F157" s="7"/>
      <c r="G157" s="7"/>
      <c r="H157" s="6" t="s">
        <v>579</v>
      </c>
      <c r="I157" s="9" t="s">
        <v>861</v>
      </c>
      <c r="J157" s="10" t="s">
        <v>862</v>
      </c>
      <c r="K157" s="10"/>
      <c r="L157" s="10" t="s">
        <v>863</v>
      </c>
    </row>
    <row r="158" ht="154" customHeight="1" spans="1:12">
      <c r="A158" s="6" t="s">
        <v>864</v>
      </c>
      <c r="B158" s="7" t="s">
        <v>865</v>
      </c>
      <c r="C158" s="7"/>
      <c r="D158" s="7" t="s">
        <v>662</v>
      </c>
      <c r="E158" s="7" t="s">
        <v>866</v>
      </c>
      <c r="F158" s="7"/>
      <c r="G158" s="7"/>
      <c r="H158" s="6" t="s">
        <v>579</v>
      </c>
      <c r="I158" s="9" t="s">
        <v>867</v>
      </c>
      <c r="J158" s="10" t="s">
        <v>868</v>
      </c>
      <c r="K158" s="10"/>
      <c r="L158" s="10" t="s">
        <v>869</v>
      </c>
    </row>
    <row r="159" ht="154" customHeight="1" spans="1:12">
      <c r="A159" s="6" t="s">
        <v>870</v>
      </c>
      <c r="B159" s="7" t="s">
        <v>871</v>
      </c>
      <c r="C159" s="7"/>
      <c r="D159" s="7" t="s">
        <v>662</v>
      </c>
      <c r="E159" s="7" t="s">
        <v>872</v>
      </c>
      <c r="F159" s="7"/>
      <c r="G159" s="7"/>
      <c r="H159" s="6" t="s">
        <v>579</v>
      </c>
      <c r="I159" s="9" t="s">
        <v>873</v>
      </c>
      <c r="J159" s="10" t="s">
        <v>874</v>
      </c>
      <c r="K159" s="10"/>
      <c r="L159" s="10" t="s">
        <v>875</v>
      </c>
    </row>
    <row r="160" ht="154" customHeight="1" spans="1:12">
      <c r="A160" s="6" t="s">
        <v>876</v>
      </c>
      <c r="B160" s="7" t="s">
        <v>877</v>
      </c>
      <c r="C160" s="7"/>
      <c r="D160" s="7" t="s">
        <v>662</v>
      </c>
      <c r="E160" s="7" t="s">
        <v>878</v>
      </c>
      <c r="F160" s="7"/>
      <c r="G160" s="7"/>
      <c r="H160" s="6" t="s">
        <v>579</v>
      </c>
      <c r="I160" s="9" t="s">
        <v>879</v>
      </c>
      <c r="J160" s="10" t="s">
        <v>880</v>
      </c>
      <c r="K160" s="10"/>
      <c r="L160" s="10" t="s">
        <v>881</v>
      </c>
    </row>
    <row r="161" ht="154" customHeight="1" spans="1:12">
      <c r="A161" s="6" t="s">
        <v>882</v>
      </c>
      <c r="B161" s="7" t="s">
        <v>883</v>
      </c>
      <c r="C161" s="7"/>
      <c r="D161" s="7" t="s">
        <v>662</v>
      </c>
      <c r="E161" s="7" t="s">
        <v>884</v>
      </c>
      <c r="F161" s="7"/>
      <c r="G161" s="7"/>
      <c r="H161" s="6" t="s">
        <v>579</v>
      </c>
      <c r="I161" s="9" t="s">
        <v>885</v>
      </c>
      <c r="J161" s="10" t="s">
        <v>886</v>
      </c>
      <c r="K161" s="10"/>
      <c r="L161" s="10" t="s">
        <v>887</v>
      </c>
    </row>
    <row r="162" ht="169" customHeight="1" spans="1:12">
      <c r="A162" s="6" t="s">
        <v>888</v>
      </c>
      <c r="B162" s="7" t="s">
        <v>889</v>
      </c>
      <c r="C162" s="7"/>
      <c r="D162" s="7" t="s">
        <v>890</v>
      </c>
      <c r="E162" s="7" t="s">
        <v>891</v>
      </c>
      <c r="F162" s="7"/>
      <c r="G162" s="7"/>
      <c r="H162" s="6" t="s">
        <v>579</v>
      </c>
      <c r="I162" s="9" t="s">
        <v>892</v>
      </c>
      <c r="J162" s="10" t="s">
        <v>893</v>
      </c>
      <c r="K162" s="10"/>
      <c r="L162" s="10" t="s">
        <v>894</v>
      </c>
    </row>
    <row r="163" ht="110" customHeight="1" spans="1:12">
      <c r="A163" s="6" t="s">
        <v>895</v>
      </c>
      <c r="B163" s="7" t="s">
        <v>896</v>
      </c>
      <c r="C163" s="7"/>
      <c r="D163" s="7" t="s">
        <v>897</v>
      </c>
      <c r="E163" s="7" t="s">
        <v>898</v>
      </c>
      <c r="F163" s="7"/>
      <c r="G163" s="7"/>
      <c r="H163" s="6" t="s">
        <v>899</v>
      </c>
      <c r="I163" s="9" t="s">
        <v>900</v>
      </c>
      <c r="J163" s="10" t="s">
        <v>901</v>
      </c>
      <c r="K163" s="10"/>
      <c r="L163" s="10" t="s">
        <v>902</v>
      </c>
    </row>
    <row r="164" ht="125" customHeight="1" spans="1:12">
      <c r="A164" s="6" t="s">
        <v>903</v>
      </c>
      <c r="B164" s="7" t="s">
        <v>904</v>
      </c>
      <c r="C164" s="7"/>
      <c r="D164" s="7" t="s">
        <v>685</v>
      </c>
      <c r="E164" s="7" t="s">
        <v>905</v>
      </c>
      <c r="F164" s="7"/>
      <c r="G164" s="7"/>
      <c r="H164" s="6" t="s">
        <v>687</v>
      </c>
      <c r="I164" s="9" t="s">
        <v>906</v>
      </c>
      <c r="J164" s="10" t="s">
        <v>907</v>
      </c>
      <c r="K164" s="10"/>
      <c r="L164" s="10" t="s">
        <v>908</v>
      </c>
    </row>
    <row r="165" ht="125" customHeight="1" spans="1:12">
      <c r="A165" s="6" t="s">
        <v>909</v>
      </c>
      <c r="B165" s="7" t="s">
        <v>910</v>
      </c>
      <c r="C165" s="7"/>
      <c r="D165" s="7" t="s">
        <v>685</v>
      </c>
      <c r="E165" s="7" t="s">
        <v>911</v>
      </c>
      <c r="F165" s="7"/>
      <c r="G165" s="7"/>
      <c r="H165" s="6" t="s">
        <v>687</v>
      </c>
      <c r="I165" s="9" t="s">
        <v>912</v>
      </c>
      <c r="J165" s="10" t="s">
        <v>913</v>
      </c>
      <c r="K165" s="10"/>
      <c r="L165" s="10" t="s">
        <v>914</v>
      </c>
    </row>
    <row r="166" ht="125" customHeight="1" spans="1:12">
      <c r="A166" s="6" t="s">
        <v>915</v>
      </c>
      <c r="B166" s="7" t="s">
        <v>916</v>
      </c>
      <c r="C166" s="7"/>
      <c r="D166" s="7" t="s">
        <v>685</v>
      </c>
      <c r="E166" s="7" t="s">
        <v>917</v>
      </c>
      <c r="F166" s="7"/>
      <c r="G166" s="7"/>
      <c r="H166" s="6" t="s">
        <v>687</v>
      </c>
      <c r="I166" s="9" t="s">
        <v>918</v>
      </c>
      <c r="J166" s="10" t="s">
        <v>919</v>
      </c>
      <c r="K166" s="10"/>
      <c r="L166" s="10" t="s">
        <v>920</v>
      </c>
    </row>
    <row r="167" ht="125" customHeight="1" spans="1:12">
      <c r="A167" s="6" t="s">
        <v>921</v>
      </c>
      <c r="B167" s="7" t="s">
        <v>922</v>
      </c>
      <c r="C167" s="7"/>
      <c r="D167" s="7" t="s">
        <v>685</v>
      </c>
      <c r="E167" s="7" t="s">
        <v>923</v>
      </c>
      <c r="F167" s="7"/>
      <c r="G167" s="7"/>
      <c r="H167" s="6" t="s">
        <v>687</v>
      </c>
      <c r="I167" s="9" t="s">
        <v>924</v>
      </c>
      <c r="J167" s="10" t="s">
        <v>925</v>
      </c>
      <c r="K167" s="10"/>
      <c r="L167" s="10" t="s">
        <v>926</v>
      </c>
    </row>
    <row r="168" ht="125" customHeight="1" spans="1:12">
      <c r="A168" s="6" t="s">
        <v>927</v>
      </c>
      <c r="B168" s="7" t="s">
        <v>928</v>
      </c>
      <c r="C168" s="7"/>
      <c r="D168" s="7" t="s">
        <v>685</v>
      </c>
      <c r="E168" s="7" t="s">
        <v>929</v>
      </c>
      <c r="F168" s="7"/>
      <c r="G168" s="7"/>
      <c r="H168" s="6" t="s">
        <v>687</v>
      </c>
      <c r="I168" s="9" t="s">
        <v>930</v>
      </c>
      <c r="J168" s="10" t="s">
        <v>931</v>
      </c>
      <c r="K168" s="10"/>
      <c r="L168" s="10" t="s">
        <v>932</v>
      </c>
    </row>
    <row r="169" ht="125" customHeight="1" spans="1:12">
      <c r="A169" s="6" t="s">
        <v>933</v>
      </c>
      <c r="B169" s="7" t="s">
        <v>934</v>
      </c>
      <c r="C169" s="7"/>
      <c r="D169" s="7" t="s">
        <v>685</v>
      </c>
      <c r="E169" s="7" t="s">
        <v>935</v>
      </c>
      <c r="F169" s="7"/>
      <c r="G169" s="7"/>
      <c r="H169" s="6" t="s">
        <v>687</v>
      </c>
      <c r="I169" s="9" t="s">
        <v>936</v>
      </c>
      <c r="J169" s="10" t="s">
        <v>937</v>
      </c>
      <c r="K169" s="10"/>
      <c r="L169" s="10" t="s">
        <v>938</v>
      </c>
    </row>
    <row r="170" ht="125" customHeight="1" spans="1:12">
      <c r="A170" s="6" t="s">
        <v>939</v>
      </c>
      <c r="B170" s="7" t="s">
        <v>940</v>
      </c>
      <c r="C170" s="7"/>
      <c r="D170" s="7" t="s">
        <v>685</v>
      </c>
      <c r="E170" s="7" t="s">
        <v>941</v>
      </c>
      <c r="F170" s="7"/>
      <c r="G170" s="7"/>
      <c r="H170" s="6" t="s">
        <v>687</v>
      </c>
      <c r="I170" s="9" t="s">
        <v>942</v>
      </c>
      <c r="J170" s="10" t="s">
        <v>943</v>
      </c>
      <c r="K170" s="10"/>
      <c r="L170" s="10" t="s">
        <v>944</v>
      </c>
    </row>
    <row r="171" ht="125" customHeight="1" spans="1:12">
      <c r="A171" s="6" t="s">
        <v>945</v>
      </c>
      <c r="B171" s="7" t="s">
        <v>946</v>
      </c>
      <c r="C171" s="7"/>
      <c r="D171" s="7" t="s">
        <v>685</v>
      </c>
      <c r="E171" s="7" t="s">
        <v>947</v>
      </c>
      <c r="F171" s="7"/>
      <c r="G171" s="7"/>
      <c r="H171" s="6" t="s">
        <v>687</v>
      </c>
      <c r="I171" s="9" t="s">
        <v>948</v>
      </c>
      <c r="J171" s="10" t="s">
        <v>949</v>
      </c>
      <c r="K171" s="10"/>
      <c r="L171" s="10" t="s">
        <v>950</v>
      </c>
    </row>
    <row r="172" ht="125" customHeight="1" spans="1:12">
      <c r="A172" s="6" t="s">
        <v>951</v>
      </c>
      <c r="B172" s="7" t="s">
        <v>952</v>
      </c>
      <c r="C172" s="7"/>
      <c r="D172" s="7" t="s">
        <v>685</v>
      </c>
      <c r="E172" s="7" t="s">
        <v>953</v>
      </c>
      <c r="F172" s="7"/>
      <c r="G172" s="7"/>
      <c r="H172" s="6" t="s">
        <v>687</v>
      </c>
      <c r="I172" s="9" t="s">
        <v>954</v>
      </c>
      <c r="J172" s="10" t="s">
        <v>955</v>
      </c>
      <c r="K172" s="10"/>
      <c r="L172" s="10" t="s">
        <v>956</v>
      </c>
    </row>
    <row r="173" ht="23" customHeight="1" spans="1:12">
      <c r="A173" s="6" t="s">
        <v>53</v>
      </c>
      <c r="B173" s="7" t="s">
        <v>53</v>
      </c>
      <c r="C173" s="7"/>
      <c r="D173" s="7" t="s">
        <v>22</v>
      </c>
      <c r="E173" s="7" t="s">
        <v>53</v>
      </c>
      <c r="F173" s="7"/>
      <c r="G173" s="7"/>
      <c r="H173" s="6" t="s">
        <v>53</v>
      </c>
      <c r="I173" s="15" t="s">
        <v>53</v>
      </c>
      <c r="J173" s="10" t="s">
        <v>53</v>
      </c>
      <c r="K173" s="10"/>
      <c r="L173" s="10" t="s">
        <v>23</v>
      </c>
    </row>
    <row r="174" ht="23" customHeight="1" spans="1:12">
      <c r="A174" s="6" t="s">
        <v>53</v>
      </c>
      <c r="B174" s="7" t="s">
        <v>53</v>
      </c>
      <c r="C174" s="7"/>
      <c r="D174" s="7" t="s">
        <v>957</v>
      </c>
      <c r="E174" s="7" t="s">
        <v>53</v>
      </c>
      <c r="F174" s="7"/>
      <c r="G174" s="7"/>
      <c r="H174" s="6" t="s">
        <v>53</v>
      </c>
      <c r="I174" s="15" t="s">
        <v>53</v>
      </c>
      <c r="J174" s="10" t="s">
        <v>53</v>
      </c>
      <c r="K174" s="10"/>
      <c r="L174" s="10" t="s">
        <v>958</v>
      </c>
    </row>
    <row r="175" ht="213" customHeight="1" spans="1:12">
      <c r="A175" s="6" t="s">
        <v>959</v>
      </c>
      <c r="B175" s="7" t="s">
        <v>960</v>
      </c>
      <c r="C175" s="7"/>
      <c r="D175" s="7" t="s">
        <v>961</v>
      </c>
      <c r="E175" s="7" t="s">
        <v>962</v>
      </c>
      <c r="F175" s="7"/>
      <c r="G175" s="7"/>
      <c r="H175" s="6" t="s">
        <v>579</v>
      </c>
      <c r="I175" s="9" t="s">
        <v>963</v>
      </c>
      <c r="J175" s="10" t="s">
        <v>964</v>
      </c>
      <c r="K175" s="10"/>
      <c r="L175" s="10" t="s">
        <v>965</v>
      </c>
    </row>
    <row r="176" ht="213" customHeight="1" spans="1:12">
      <c r="A176" s="6" t="s">
        <v>966</v>
      </c>
      <c r="B176" s="7" t="s">
        <v>967</v>
      </c>
      <c r="C176" s="7"/>
      <c r="D176" s="7" t="s">
        <v>968</v>
      </c>
      <c r="E176" s="7" t="s">
        <v>969</v>
      </c>
      <c r="F176" s="7"/>
      <c r="G176" s="7"/>
      <c r="H176" s="6" t="s">
        <v>579</v>
      </c>
      <c r="I176" s="9" t="s">
        <v>970</v>
      </c>
      <c r="J176" s="10" t="s">
        <v>971</v>
      </c>
      <c r="K176" s="10"/>
      <c r="L176" s="10" t="s">
        <v>972</v>
      </c>
    </row>
    <row r="177" ht="288" customHeight="1" spans="1:12">
      <c r="A177" s="6" t="s">
        <v>973</v>
      </c>
      <c r="B177" s="7" t="s">
        <v>974</v>
      </c>
      <c r="C177" s="7"/>
      <c r="D177" s="7" t="s">
        <v>975</v>
      </c>
      <c r="E177" s="7" t="s">
        <v>976</v>
      </c>
      <c r="F177" s="7"/>
      <c r="G177" s="7"/>
      <c r="H177" s="6" t="s">
        <v>579</v>
      </c>
      <c r="I177" s="9" t="s">
        <v>977</v>
      </c>
      <c r="J177" s="10" t="s">
        <v>978</v>
      </c>
      <c r="K177" s="10"/>
      <c r="L177" s="10" t="s">
        <v>979</v>
      </c>
    </row>
    <row r="178" ht="228" customHeight="1" spans="1:12">
      <c r="A178" s="6" t="s">
        <v>980</v>
      </c>
      <c r="B178" s="7" t="s">
        <v>981</v>
      </c>
      <c r="C178" s="7"/>
      <c r="D178" s="7" t="s">
        <v>982</v>
      </c>
      <c r="E178" s="7" t="s">
        <v>983</v>
      </c>
      <c r="F178" s="7"/>
      <c r="G178" s="7"/>
      <c r="H178" s="6" t="s">
        <v>579</v>
      </c>
      <c r="I178" s="9" t="s">
        <v>984</v>
      </c>
      <c r="J178" s="10" t="s">
        <v>985</v>
      </c>
      <c r="K178" s="10"/>
      <c r="L178" s="10" t="s">
        <v>986</v>
      </c>
    </row>
    <row r="179" ht="228" customHeight="1" spans="1:12">
      <c r="A179" s="6" t="s">
        <v>987</v>
      </c>
      <c r="B179" s="7" t="s">
        <v>988</v>
      </c>
      <c r="C179" s="7"/>
      <c r="D179" s="7" t="s">
        <v>989</v>
      </c>
      <c r="E179" s="7" t="s">
        <v>990</v>
      </c>
      <c r="F179" s="7"/>
      <c r="G179" s="7"/>
      <c r="H179" s="6" t="s">
        <v>579</v>
      </c>
      <c r="I179" s="9" t="s">
        <v>991</v>
      </c>
      <c r="J179" s="10" t="s">
        <v>992</v>
      </c>
      <c r="K179" s="10"/>
      <c r="L179" s="10" t="s">
        <v>993</v>
      </c>
    </row>
    <row r="180" ht="95" customHeight="1" spans="1:12">
      <c r="A180" s="6" t="s">
        <v>994</v>
      </c>
      <c r="B180" s="7" t="s">
        <v>995</v>
      </c>
      <c r="C180" s="7"/>
      <c r="D180" s="7" t="s">
        <v>996</v>
      </c>
      <c r="E180" s="7" t="s">
        <v>997</v>
      </c>
      <c r="F180" s="7"/>
      <c r="G180" s="7"/>
      <c r="H180" s="6" t="s">
        <v>998</v>
      </c>
      <c r="I180" s="9" t="s">
        <v>999</v>
      </c>
      <c r="J180" s="10" t="s">
        <v>1000</v>
      </c>
      <c r="K180" s="10"/>
      <c r="L180" s="10" t="s">
        <v>1001</v>
      </c>
    </row>
    <row r="181" ht="95" customHeight="1" spans="1:12">
      <c r="A181" s="6" t="s">
        <v>1002</v>
      </c>
      <c r="B181" s="7" t="s">
        <v>1003</v>
      </c>
      <c r="C181" s="7"/>
      <c r="D181" s="7" t="s">
        <v>1004</v>
      </c>
      <c r="E181" s="7" t="s">
        <v>1005</v>
      </c>
      <c r="F181" s="7"/>
      <c r="G181" s="7"/>
      <c r="H181" s="6" t="s">
        <v>135</v>
      </c>
      <c r="I181" s="9" t="s">
        <v>1006</v>
      </c>
      <c r="J181" s="10" t="s">
        <v>1007</v>
      </c>
      <c r="K181" s="10"/>
      <c r="L181" s="10" t="s">
        <v>1008</v>
      </c>
    </row>
    <row r="182" ht="80" customHeight="1" spans="1:12">
      <c r="A182" s="6" t="s">
        <v>1009</v>
      </c>
      <c r="B182" s="7" t="s">
        <v>1010</v>
      </c>
      <c r="C182" s="7"/>
      <c r="D182" s="7" t="s">
        <v>1011</v>
      </c>
      <c r="E182" s="7" t="s">
        <v>1012</v>
      </c>
      <c r="F182" s="7"/>
      <c r="G182" s="7"/>
      <c r="H182" s="6" t="s">
        <v>135</v>
      </c>
      <c r="I182" s="9" t="s">
        <v>1013</v>
      </c>
      <c r="J182" s="10" t="s">
        <v>1014</v>
      </c>
      <c r="K182" s="10"/>
      <c r="L182" s="10" t="s">
        <v>1015</v>
      </c>
    </row>
    <row r="183" ht="95" customHeight="1" spans="1:12">
      <c r="A183" s="6" t="s">
        <v>1016</v>
      </c>
      <c r="B183" s="7" t="s">
        <v>1017</v>
      </c>
      <c r="C183" s="7"/>
      <c r="D183" s="7" t="s">
        <v>1018</v>
      </c>
      <c r="E183" s="7" t="s">
        <v>1019</v>
      </c>
      <c r="F183" s="7"/>
      <c r="G183" s="7"/>
      <c r="H183" s="6" t="s">
        <v>135</v>
      </c>
      <c r="I183" s="9" t="s">
        <v>1020</v>
      </c>
      <c r="J183" s="10" t="s">
        <v>1021</v>
      </c>
      <c r="K183" s="10"/>
      <c r="L183" s="10" t="s">
        <v>1022</v>
      </c>
    </row>
    <row r="184" ht="183" customHeight="1" spans="1:12">
      <c r="A184" s="6" t="s">
        <v>1023</v>
      </c>
      <c r="B184" s="7" t="s">
        <v>1024</v>
      </c>
      <c r="C184" s="7"/>
      <c r="D184" s="7" t="s">
        <v>1025</v>
      </c>
      <c r="E184" s="7" t="s">
        <v>1026</v>
      </c>
      <c r="F184" s="7"/>
      <c r="G184" s="7"/>
      <c r="H184" s="6" t="s">
        <v>998</v>
      </c>
      <c r="I184" s="9" t="s">
        <v>1027</v>
      </c>
      <c r="J184" s="10" t="s">
        <v>1028</v>
      </c>
      <c r="K184" s="10"/>
      <c r="L184" s="10" t="s">
        <v>1029</v>
      </c>
    </row>
    <row r="185" ht="183" customHeight="1" spans="1:12">
      <c r="A185" s="6" t="s">
        <v>1030</v>
      </c>
      <c r="B185" s="7" t="s">
        <v>1031</v>
      </c>
      <c r="C185" s="7"/>
      <c r="D185" s="7" t="s">
        <v>1032</v>
      </c>
      <c r="E185" s="7" t="s">
        <v>1033</v>
      </c>
      <c r="F185" s="7"/>
      <c r="G185" s="7"/>
      <c r="H185" s="6" t="s">
        <v>998</v>
      </c>
      <c r="I185" s="9" t="s">
        <v>1034</v>
      </c>
      <c r="J185" s="10" t="s">
        <v>1035</v>
      </c>
      <c r="K185" s="10"/>
      <c r="L185" s="10" t="s">
        <v>1036</v>
      </c>
    </row>
    <row r="186" ht="317" customHeight="1" spans="1:12">
      <c r="A186" s="6" t="s">
        <v>1037</v>
      </c>
      <c r="B186" s="7" t="s">
        <v>1038</v>
      </c>
      <c r="C186" s="7"/>
      <c r="D186" s="7" t="s">
        <v>1039</v>
      </c>
      <c r="E186" s="7" t="s">
        <v>1040</v>
      </c>
      <c r="F186" s="7"/>
      <c r="G186" s="7"/>
      <c r="H186" s="6" t="s">
        <v>135</v>
      </c>
      <c r="I186" s="9" t="s">
        <v>1041</v>
      </c>
      <c r="J186" s="10" t="s">
        <v>1042</v>
      </c>
      <c r="K186" s="10"/>
      <c r="L186" s="10" t="s">
        <v>1043</v>
      </c>
    </row>
    <row r="187" ht="228" customHeight="1" spans="1:12">
      <c r="A187" s="6" t="s">
        <v>1044</v>
      </c>
      <c r="B187" s="7" t="s">
        <v>1045</v>
      </c>
      <c r="C187" s="7"/>
      <c r="D187" s="7" t="s">
        <v>1046</v>
      </c>
      <c r="E187" s="7" t="s">
        <v>1047</v>
      </c>
      <c r="F187" s="7"/>
      <c r="G187" s="7"/>
      <c r="H187" s="6" t="s">
        <v>135</v>
      </c>
      <c r="I187" s="9" t="s">
        <v>1048</v>
      </c>
      <c r="J187" s="10" t="s">
        <v>1049</v>
      </c>
      <c r="K187" s="10"/>
      <c r="L187" s="10" t="s">
        <v>1050</v>
      </c>
    </row>
    <row r="188" ht="125" customHeight="1" spans="1:12">
      <c r="A188" s="6" t="s">
        <v>1051</v>
      </c>
      <c r="B188" s="7" t="s">
        <v>1052</v>
      </c>
      <c r="C188" s="7"/>
      <c r="D188" s="7" t="s">
        <v>1053</v>
      </c>
      <c r="E188" s="7" t="s">
        <v>1054</v>
      </c>
      <c r="F188" s="7"/>
      <c r="G188" s="7"/>
      <c r="H188" s="6" t="s">
        <v>135</v>
      </c>
      <c r="I188" s="9" t="s">
        <v>1055</v>
      </c>
      <c r="J188" s="10" t="s">
        <v>1056</v>
      </c>
      <c r="K188" s="10"/>
      <c r="L188" s="10" t="s">
        <v>1057</v>
      </c>
    </row>
    <row r="189" ht="125" customHeight="1" spans="1:12">
      <c r="A189" s="6" t="s">
        <v>1058</v>
      </c>
      <c r="B189" s="7" t="s">
        <v>1059</v>
      </c>
      <c r="C189" s="7"/>
      <c r="D189" s="7" t="s">
        <v>1060</v>
      </c>
      <c r="E189" s="7" t="s">
        <v>1061</v>
      </c>
      <c r="F189" s="7"/>
      <c r="G189" s="7"/>
      <c r="H189" s="6" t="s">
        <v>135</v>
      </c>
      <c r="I189" s="9" t="s">
        <v>1055</v>
      </c>
      <c r="J189" s="10" t="s">
        <v>1062</v>
      </c>
      <c r="K189" s="10"/>
      <c r="L189" s="10" t="s">
        <v>1063</v>
      </c>
    </row>
    <row r="190" ht="125" customHeight="1" spans="1:12">
      <c r="A190" s="6" t="s">
        <v>1064</v>
      </c>
      <c r="B190" s="7" t="s">
        <v>1065</v>
      </c>
      <c r="C190" s="7"/>
      <c r="D190" s="7" t="s">
        <v>1066</v>
      </c>
      <c r="E190" s="7" t="s">
        <v>1067</v>
      </c>
      <c r="F190" s="7"/>
      <c r="G190" s="7"/>
      <c r="H190" s="6" t="s">
        <v>135</v>
      </c>
      <c r="I190" s="9" t="s">
        <v>1068</v>
      </c>
      <c r="J190" s="10" t="s">
        <v>1069</v>
      </c>
      <c r="K190" s="10"/>
      <c r="L190" s="10" t="s">
        <v>1070</v>
      </c>
    </row>
    <row r="191" ht="125" customHeight="1" spans="1:12">
      <c r="A191" s="6" t="s">
        <v>1071</v>
      </c>
      <c r="B191" s="7" t="s">
        <v>1072</v>
      </c>
      <c r="C191" s="7"/>
      <c r="D191" s="7" t="s">
        <v>1066</v>
      </c>
      <c r="E191" s="7" t="s">
        <v>1073</v>
      </c>
      <c r="F191" s="7"/>
      <c r="G191" s="7"/>
      <c r="H191" s="6" t="s">
        <v>135</v>
      </c>
      <c r="I191" s="9" t="s">
        <v>1074</v>
      </c>
      <c r="J191" s="10" t="s">
        <v>1075</v>
      </c>
      <c r="K191" s="10"/>
      <c r="L191" s="10" t="s">
        <v>1076</v>
      </c>
    </row>
    <row r="192" ht="125" customHeight="1" spans="1:12">
      <c r="A192" s="6" t="s">
        <v>1077</v>
      </c>
      <c r="B192" s="7" t="s">
        <v>1078</v>
      </c>
      <c r="C192" s="7"/>
      <c r="D192" s="7" t="s">
        <v>1079</v>
      </c>
      <c r="E192" s="7" t="s">
        <v>1080</v>
      </c>
      <c r="F192" s="7"/>
      <c r="G192" s="7"/>
      <c r="H192" s="6" t="s">
        <v>80</v>
      </c>
      <c r="I192" s="9" t="s">
        <v>1081</v>
      </c>
      <c r="J192" s="10" t="s">
        <v>1082</v>
      </c>
      <c r="K192" s="10"/>
      <c r="L192" s="10" t="s">
        <v>1083</v>
      </c>
    </row>
    <row r="193" ht="80" customHeight="1" spans="1:12">
      <c r="A193" s="6" t="s">
        <v>1084</v>
      </c>
      <c r="B193" s="7" t="s">
        <v>1085</v>
      </c>
      <c r="C193" s="7"/>
      <c r="D193" s="7" t="s">
        <v>1086</v>
      </c>
      <c r="E193" s="7" t="s">
        <v>1087</v>
      </c>
      <c r="F193" s="7"/>
      <c r="G193" s="7"/>
      <c r="H193" s="6" t="s">
        <v>135</v>
      </c>
      <c r="I193" s="9" t="s">
        <v>1088</v>
      </c>
      <c r="J193" s="10" t="s">
        <v>1089</v>
      </c>
      <c r="K193" s="10"/>
      <c r="L193" s="10" t="s">
        <v>1090</v>
      </c>
    </row>
    <row r="194" ht="80" customHeight="1" spans="1:12">
      <c r="A194" s="6" t="s">
        <v>1091</v>
      </c>
      <c r="B194" s="7" t="s">
        <v>1092</v>
      </c>
      <c r="C194" s="7"/>
      <c r="D194" s="7" t="s">
        <v>1093</v>
      </c>
      <c r="E194" s="7" t="s">
        <v>1094</v>
      </c>
      <c r="F194" s="7"/>
      <c r="G194" s="7"/>
      <c r="H194" s="6" t="s">
        <v>899</v>
      </c>
      <c r="I194" s="9" t="s">
        <v>256</v>
      </c>
      <c r="J194" s="10" t="s">
        <v>1095</v>
      </c>
      <c r="K194" s="10"/>
      <c r="L194" s="10" t="s">
        <v>1095</v>
      </c>
    </row>
    <row r="195" ht="80" customHeight="1" spans="1:12">
      <c r="A195" s="6" t="s">
        <v>1096</v>
      </c>
      <c r="B195" s="7" t="s">
        <v>1097</v>
      </c>
      <c r="C195" s="7"/>
      <c r="D195" s="7" t="s">
        <v>1093</v>
      </c>
      <c r="E195" s="7" t="s">
        <v>1098</v>
      </c>
      <c r="F195" s="7"/>
      <c r="G195" s="7"/>
      <c r="H195" s="6" t="s">
        <v>899</v>
      </c>
      <c r="I195" s="9" t="s">
        <v>256</v>
      </c>
      <c r="J195" s="10" t="s">
        <v>1099</v>
      </c>
      <c r="K195" s="10"/>
      <c r="L195" s="10" t="s">
        <v>1099</v>
      </c>
    </row>
    <row r="196" ht="80" customHeight="1" spans="1:12">
      <c r="A196" s="6" t="s">
        <v>1100</v>
      </c>
      <c r="B196" s="7" t="s">
        <v>1101</v>
      </c>
      <c r="C196" s="7"/>
      <c r="D196" s="7" t="s">
        <v>1093</v>
      </c>
      <c r="E196" s="7" t="s">
        <v>1102</v>
      </c>
      <c r="F196" s="7"/>
      <c r="G196" s="7"/>
      <c r="H196" s="6" t="s">
        <v>899</v>
      </c>
      <c r="I196" s="9" t="s">
        <v>1103</v>
      </c>
      <c r="J196" s="10" t="s">
        <v>1104</v>
      </c>
      <c r="K196" s="10"/>
      <c r="L196" s="10" t="s">
        <v>1105</v>
      </c>
    </row>
    <row r="197" ht="80" customHeight="1" spans="1:12">
      <c r="A197" s="6" t="s">
        <v>1106</v>
      </c>
      <c r="B197" s="7" t="s">
        <v>1107</v>
      </c>
      <c r="C197" s="7"/>
      <c r="D197" s="7" t="s">
        <v>1093</v>
      </c>
      <c r="E197" s="7" t="s">
        <v>1108</v>
      </c>
      <c r="F197" s="7"/>
      <c r="G197" s="7"/>
      <c r="H197" s="6" t="s">
        <v>899</v>
      </c>
      <c r="I197" s="9" t="s">
        <v>1109</v>
      </c>
      <c r="J197" s="10" t="s">
        <v>1110</v>
      </c>
      <c r="K197" s="10"/>
      <c r="L197" s="10" t="s">
        <v>1111</v>
      </c>
    </row>
    <row r="198" ht="80" customHeight="1" spans="1:12">
      <c r="A198" s="6" t="s">
        <v>1112</v>
      </c>
      <c r="B198" s="7" t="s">
        <v>1113</v>
      </c>
      <c r="C198" s="7"/>
      <c r="D198" s="7" t="s">
        <v>1093</v>
      </c>
      <c r="E198" s="7" t="s">
        <v>1114</v>
      </c>
      <c r="F198" s="7"/>
      <c r="G198" s="7"/>
      <c r="H198" s="6" t="s">
        <v>899</v>
      </c>
      <c r="I198" s="9" t="s">
        <v>1115</v>
      </c>
      <c r="J198" s="10" t="s">
        <v>1116</v>
      </c>
      <c r="K198" s="10"/>
      <c r="L198" s="10" t="s">
        <v>1117</v>
      </c>
    </row>
    <row r="199" ht="80" customHeight="1" spans="1:12">
      <c r="A199" s="6" t="s">
        <v>1118</v>
      </c>
      <c r="B199" s="7" t="s">
        <v>1119</v>
      </c>
      <c r="C199" s="7"/>
      <c r="D199" s="7" t="s">
        <v>1093</v>
      </c>
      <c r="E199" s="7" t="s">
        <v>1120</v>
      </c>
      <c r="F199" s="7"/>
      <c r="G199" s="7"/>
      <c r="H199" s="6" t="s">
        <v>899</v>
      </c>
      <c r="I199" s="9" t="s">
        <v>1121</v>
      </c>
      <c r="J199" s="10" t="s">
        <v>1122</v>
      </c>
      <c r="K199" s="10"/>
      <c r="L199" s="10" t="s">
        <v>1123</v>
      </c>
    </row>
    <row r="200" ht="23" customHeight="1" spans="1:12">
      <c r="A200" s="6" t="s">
        <v>53</v>
      </c>
      <c r="B200" s="7" t="s">
        <v>53</v>
      </c>
      <c r="C200" s="7"/>
      <c r="D200" s="7" t="s">
        <v>1124</v>
      </c>
      <c r="E200" s="7" t="s">
        <v>53</v>
      </c>
      <c r="F200" s="7"/>
      <c r="G200" s="7"/>
      <c r="H200" s="6" t="s">
        <v>53</v>
      </c>
      <c r="I200" s="15" t="s">
        <v>53</v>
      </c>
      <c r="J200" s="10" t="s">
        <v>53</v>
      </c>
      <c r="K200" s="10"/>
      <c r="L200" s="10" t="s">
        <v>1125</v>
      </c>
    </row>
    <row r="201" ht="213" customHeight="1" spans="1:12">
      <c r="A201" s="6" t="s">
        <v>1126</v>
      </c>
      <c r="B201" s="7" t="s">
        <v>1127</v>
      </c>
      <c r="C201" s="7"/>
      <c r="D201" s="7" t="s">
        <v>961</v>
      </c>
      <c r="E201" s="7" t="s">
        <v>1128</v>
      </c>
      <c r="F201" s="7"/>
      <c r="G201" s="7"/>
      <c r="H201" s="6" t="s">
        <v>579</v>
      </c>
      <c r="I201" s="9" t="s">
        <v>1129</v>
      </c>
      <c r="J201" s="10" t="s">
        <v>1130</v>
      </c>
      <c r="K201" s="10"/>
      <c r="L201" s="10" t="s">
        <v>1131</v>
      </c>
    </row>
    <row r="202" ht="198" customHeight="1" spans="1:12">
      <c r="A202" s="6" t="s">
        <v>1132</v>
      </c>
      <c r="B202" s="7" t="s">
        <v>1133</v>
      </c>
      <c r="C202" s="7"/>
      <c r="D202" s="7" t="s">
        <v>975</v>
      </c>
      <c r="E202" s="7" t="s">
        <v>1134</v>
      </c>
      <c r="F202" s="7"/>
      <c r="G202" s="7"/>
      <c r="H202" s="6" t="s">
        <v>579</v>
      </c>
      <c r="I202" s="9" t="s">
        <v>1135</v>
      </c>
      <c r="J202" s="10" t="s">
        <v>978</v>
      </c>
      <c r="K202" s="10"/>
      <c r="L202" s="10" t="s">
        <v>1136</v>
      </c>
    </row>
    <row r="203" ht="228" customHeight="1" spans="1:12">
      <c r="A203" s="6" t="s">
        <v>1137</v>
      </c>
      <c r="B203" s="7" t="s">
        <v>1138</v>
      </c>
      <c r="C203" s="7"/>
      <c r="D203" s="7" t="s">
        <v>989</v>
      </c>
      <c r="E203" s="7" t="s">
        <v>1139</v>
      </c>
      <c r="F203" s="7"/>
      <c r="G203" s="7"/>
      <c r="H203" s="6" t="s">
        <v>579</v>
      </c>
      <c r="I203" s="9" t="s">
        <v>1140</v>
      </c>
      <c r="J203" s="10" t="s">
        <v>992</v>
      </c>
      <c r="K203" s="10"/>
      <c r="L203" s="10" t="s">
        <v>1141</v>
      </c>
    </row>
    <row r="204" ht="125" customHeight="1" spans="1:12">
      <c r="A204" s="6" t="s">
        <v>1142</v>
      </c>
      <c r="B204" s="7" t="s">
        <v>1143</v>
      </c>
      <c r="C204" s="7"/>
      <c r="D204" s="7" t="s">
        <v>1066</v>
      </c>
      <c r="E204" s="7" t="s">
        <v>1144</v>
      </c>
      <c r="F204" s="7"/>
      <c r="G204" s="7"/>
      <c r="H204" s="6" t="s">
        <v>135</v>
      </c>
      <c r="I204" s="9" t="s">
        <v>1145</v>
      </c>
      <c r="J204" s="10" t="s">
        <v>1146</v>
      </c>
      <c r="K204" s="10"/>
      <c r="L204" s="10" t="s">
        <v>1147</v>
      </c>
    </row>
    <row r="205" ht="125" customHeight="1" spans="1:12">
      <c r="A205" s="6" t="s">
        <v>1148</v>
      </c>
      <c r="B205" s="7" t="s">
        <v>1149</v>
      </c>
      <c r="C205" s="7"/>
      <c r="D205" s="7" t="s">
        <v>1066</v>
      </c>
      <c r="E205" s="7" t="s">
        <v>1073</v>
      </c>
      <c r="F205" s="7"/>
      <c r="G205" s="7"/>
      <c r="H205" s="6" t="s">
        <v>135</v>
      </c>
      <c r="I205" s="9" t="s">
        <v>1150</v>
      </c>
      <c r="J205" s="10" t="s">
        <v>1075</v>
      </c>
      <c r="K205" s="10"/>
      <c r="L205" s="10" t="s">
        <v>1151</v>
      </c>
    </row>
    <row r="206" ht="125" customHeight="1" spans="1:12">
      <c r="A206" s="6" t="s">
        <v>1152</v>
      </c>
      <c r="B206" s="7" t="s">
        <v>1153</v>
      </c>
      <c r="C206" s="7"/>
      <c r="D206" s="7" t="s">
        <v>1154</v>
      </c>
      <c r="E206" s="7" t="s">
        <v>1155</v>
      </c>
      <c r="F206" s="7"/>
      <c r="G206" s="7"/>
      <c r="H206" s="6" t="s">
        <v>899</v>
      </c>
      <c r="I206" s="9" t="s">
        <v>256</v>
      </c>
      <c r="J206" s="10" t="s">
        <v>1156</v>
      </c>
      <c r="K206" s="10"/>
      <c r="L206" s="10" t="s">
        <v>1156</v>
      </c>
    </row>
    <row r="207" ht="80" customHeight="1" spans="1:12">
      <c r="A207" s="6" t="s">
        <v>1157</v>
      </c>
      <c r="B207" s="7" t="s">
        <v>1158</v>
      </c>
      <c r="C207" s="7"/>
      <c r="D207" s="7" t="s">
        <v>1093</v>
      </c>
      <c r="E207" s="7" t="s">
        <v>1094</v>
      </c>
      <c r="F207" s="7"/>
      <c r="G207" s="7"/>
      <c r="H207" s="6" t="s">
        <v>899</v>
      </c>
      <c r="I207" s="9" t="s">
        <v>1159</v>
      </c>
      <c r="J207" s="10" t="s">
        <v>1095</v>
      </c>
      <c r="K207" s="10"/>
      <c r="L207" s="10" t="s">
        <v>1160</v>
      </c>
    </row>
    <row r="208" ht="80" customHeight="1" spans="1:12">
      <c r="A208" s="6" t="s">
        <v>1161</v>
      </c>
      <c r="B208" s="7" t="s">
        <v>1162</v>
      </c>
      <c r="C208" s="7"/>
      <c r="D208" s="7" t="s">
        <v>1093</v>
      </c>
      <c r="E208" s="7" t="s">
        <v>1163</v>
      </c>
      <c r="F208" s="7"/>
      <c r="G208" s="7"/>
      <c r="H208" s="6" t="s">
        <v>899</v>
      </c>
      <c r="I208" s="9" t="s">
        <v>1159</v>
      </c>
      <c r="J208" s="10" t="s">
        <v>1164</v>
      </c>
      <c r="K208" s="10"/>
      <c r="L208" s="10" t="s">
        <v>1165</v>
      </c>
    </row>
    <row r="209" ht="23" customHeight="1" spans="1:12">
      <c r="A209" s="6" t="s">
        <v>53</v>
      </c>
      <c r="B209" s="7" t="s">
        <v>53</v>
      </c>
      <c r="C209" s="7"/>
      <c r="D209" s="7" t="s">
        <v>25</v>
      </c>
      <c r="E209" s="7" t="s">
        <v>53</v>
      </c>
      <c r="F209" s="7"/>
      <c r="G209" s="7"/>
      <c r="H209" s="6" t="s">
        <v>53</v>
      </c>
      <c r="I209" s="15" t="s">
        <v>53</v>
      </c>
      <c r="J209" s="10" t="s">
        <v>53</v>
      </c>
      <c r="K209" s="10"/>
      <c r="L209" s="10" t="s">
        <v>26</v>
      </c>
    </row>
    <row r="210" ht="51" customHeight="1" spans="1:12">
      <c r="A210" s="6" t="s">
        <v>53</v>
      </c>
      <c r="B210" s="7" t="s">
        <v>53</v>
      </c>
      <c r="C210" s="7"/>
      <c r="D210" s="7" t="s">
        <v>1166</v>
      </c>
      <c r="E210" s="7" t="s">
        <v>53</v>
      </c>
      <c r="F210" s="7"/>
      <c r="G210" s="7"/>
      <c r="H210" s="6" t="s">
        <v>53</v>
      </c>
      <c r="I210" s="15" t="s">
        <v>53</v>
      </c>
      <c r="J210" s="10" t="s">
        <v>53</v>
      </c>
      <c r="K210" s="10"/>
      <c r="L210" s="10" t="s">
        <v>1167</v>
      </c>
    </row>
    <row r="211" ht="332" customHeight="1" spans="1:12">
      <c r="A211" s="6" t="s">
        <v>1168</v>
      </c>
      <c r="B211" s="7" t="s">
        <v>1169</v>
      </c>
      <c r="C211" s="7"/>
      <c r="D211" s="7" t="s">
        <v>1170</v>
      </c>
      <c r="E211" s="7" t="s">
        <v>1171</v>
      </c>
      <c r="F211" s="7"/>
      <c r="G211" s="7"/>
      <c r="H211" s="6" t="s">
        <v>135</v>
      </c>
      <c r="I211" s="9" t="s">
        <v>1172</v>
      </c>
      <c r="J211" s="10" t="s">
        <v>1173</v>
      </c>
      <c r="K211" s="10"/>
      <c r="L211" s="10" t="s">
        <v>1174</v>
      </c>
    </row>
    <row r="212" ht="213" customHeight="1" spans="1:12">
      <c r="A212" s="6" t="s">
        <v>1175</v>
      </c>
      <c r="B212" s="7" t="s">
        <v>1176</v>
      </c>
      <c r="C212" s="7"/>
      <c r="D212" s="7" t="s">
        <v>1177</v>
      </c>
      <c r="E212" s="7" t="s">
        <v>1178</v>
      </c>
      <c r="F212" s="7"/>
      <c r="G212" s="7"/>
      <c r="H212" s="6" t="s">
        <v>135</v>
      </c>
      <c r="I212" s="9" t="s">
        <v>1172</v>
      </c>
      <c r="J212" s="10" t="s">
        <v>1179</v>
      </c>
      <c r="K212" s="10"/>
      <c r="L212" s="10" t="s">
        <v>1180</v>
      </c>
    </row>
    <row r="213" ht="198" customHeight="1" spans="1:12">
      <c r="A213" s="6" t="s">
        <v>1181</v>
      </c>
      <c r="B213" s="7" t="s">
        <v>1182</v>
      </c>
      <c r="C213" s="7"/>
      <c r="D213" s="7" t="s">
        <v>1183</v>
      </c>
      <c r="E213" s="7" t="s">
        <v>1184</v>
      </c>
      <c r="F213" s="7"/>
      <c r="G213" s="7"/>
      <c r="H213" s="6" t="s">
        <v>135</v>
      </c>
      <c r="I213" s="9" t="s">
        <v>1185</v>
      </c>
      <c r="J213" s="10" t="s">
        <v>1186</v>
      </c>
      <c r="K213" s="10"/>
      <c r="L213" s="10" t="s">
        <v>1187</v>
      </c>
    </row>
    <row r="214" ht="139" customHeight="1" spans="1:12">
      <c r="A214" s="6" t="s">
        <v>1188</v>
      </c>
      <c r="B214" s="7" t="s">
        <v>1189</v>
      </c>
      <c r="C214" s="7"/>
      <c r="D214" s="7" t="s">
        <v>1190</v>
      </c>
      <c r="E214" s="7" t="s">
        <v>1191</v>
      </c>
      <c r="F214" s="7"/>
      <c r="G214" s="7"/>
      <c r="H214" s="6" t="s">
        <v>135</v>
      </c>
      <c r="I214" s="9" t="s">
        <v>1185</v>
      </c>
      <c r="J214" s="10" t="s">
        <v>1192</v>
      </c>
      <c r="K214" s="10"/>
      <c r="L214" s="10" t="s">
        <v>1193</v>
      </c>
    </row>
    <row r="215" ht="302" customHeight="1" spans="1:12">
      <c r="A215" s="6" t="s">
        <v>1194</v>
      </c>
      <c r="B215" s="7" t="s">
        <v>1195</v>
      </c>
      <c r="C215" s="7"/>
      <c r="D215" s="7" t="s">
        <v>1196</v>
      </c>
      <c r="E215" s="7" t="s">
        <v>1197</v>
      </c>
      <c r="F215" s="7"/>
      <c r="G215" s="7"/>
      <c r="H215" s="6" t="s">
        <v>135</v>
      </c>
      <c r="I215" s="9" t="s">
        <v>1185</v>
      </c>
      <c r="J215" s="10" t="s">
        <v>1198</v>
      </c>
      <c r="K215" s="10"/>
      <c r="L215" s="10" t="s">
        <v>1199</v>
      </c>
    </row>
    <row r="216" ht="23" customHeight="1" spans="1:12">
      <c r="A216" s="6" t="s">
        <v>53</v>
      </c>
      <c r="B216" s="7" t="s">
        <v>53</v>
      </c>
      <c r="C216" s="7"/>
      <c r="D216" s="7" t="s">
        <v>1200</v>
      </c>
      <c r="E216" s="7" t="s">
        <v>53</v>
      </c>
      <c r="F216" s="7"/>
      <c r="G216" s="7"/>
      <c r="H216" s="6" t="s">
        <v>53</v>
      </c>
      <c r="I216" s="15" t="s">
        <v>53</v>
      </c>
      <c r="J216" s="10" t="s">
        <v>53</v>
      </c>
      <c r="K216" s="10"/>
      <c r="L216" s="10" t="s">
        <v>1201</v>
      </c>
    </row>
    <row r="217" ht="288" customHeight="1" spans="1:12">
      <c r="A217" s="6" t="s">
        <v>1202</v>
      </c>
      <c r="B217" s="7" t="s">
        <v>1203</v>
      </c>
      <c r="C217" s="7"/>
      <c r="D217" s="7" t="s">
        <v>1204</v>
      </c>
      <c r="E217" s="7" t="s">
        <v>1205</v>
      </c>
      <c r="F217" s="7"/>
      <c r="G217" s="7"/>
      <c r="H217" s="6" t="s">
        <v>135</v>
      </c>
      <c r="I217" s="9" t="s">
        <v>1206</v>
      </c>
      <c r="J217" s="10" t="s">
        <v>1207</v>
      </c>
      <c r="K217" s="10"/>
      <c r="L217" s="10" t="s">
        <v>1208</v>
      </c>
    </row>
    <row r="218" ht="154" customHeight="1" spans="1:12">
      <c r="A218" s="6" t="s">
        <v>1209</v>
      </c>
      <c r="B218" s="7" t="s">
        <v>1210</v>
      </c>
      <c r="C218" s="7"/>
      <c r="D218" s="7" t="s">
        <v>1211</v>
      </c>
      <c r="E218" s="7" t="s">
        <v>1212</v>
      </c>
      <c r="F218" s="7"/>
      <c r="G218" s="7"/>
      <c r="H218" s="6" t="s">
        <v>998</v>
      </c>
      <c r="I218" s="9" t="s">
        <v>1213</v>
      </c>
      <c r="J218" s="10" t="s">
        <v>1214</v>
      </c>
      <c r="K218" s="10"/>
      <c r="L218" s="10" t="s">
        <v>1215</v>
      </c>
    </row>
    <row r="219" ht="36" customHeight="1" spans="1:12">
      <c r="A219" s="6" t="s">
        <v>53</v>
      </c>
      <c r="B219" s="7" t="s">
        <v>53</v>
      </c>
      <c r="C219" s="7"/>
      <c r="D219" s="7" t="s">
        <v>1216</v>
      </c>
      <c r="E219" s="7" t="s">
        <v>53</v>
      </c>
      <c r="F219" s="7"/>
      <c r="G219" s="7"/>
      <c r="H219" s="6" t="s">
        <v>53</v>
      </c>
      <c r="I219" s="15" t="s">
        <v>53</v>
      </c>
      <c r="J219" s="10" t="s">
        <v>53</v>
      </c>
      <c r="K219" s="10"/>
      <c r="L219" s="10" t="s">
        <v>1217</v>
      </c>
    </row>
    <row r="220" ht="198" customHeight="1" spans="1:12">
      <c r="A220" s="6" t="s">
        <v>1218</v>
      </c>
      <c r="B220" s="7" t="s">
        <v>1219</v>
      </c>
      <c r="C220" s="7"/>
      <c r="D220" s="7" t="s">
        <v>1220</v>
      </c>
      <c r="E220" s="7" t="s">
        <v>1221</v>
      </c>
      <c r="F220" s="7"/>
      <c r="G220" s="7"/>
      <c r="H220" s="6" t="s">
        <v>135</v>
      </c>
      <c r="I220" s="9" t="s">
        <v>1222</v>
      </c>
      <c r="J220" s="10" t="s">
        <v>1223</v>
      </c>
      <c r="K220" s="10"/>
      <c r="L220" s="10" t="s">
        <v>1217</v>
      </c>
    </row>
    <row r="221" ht="36" customHeight="1" spans="1:12">
      <c r="A221" s="6" t="s">
        <v>53</v>
      </c>
      <c r="B221" s="7" t="s">
        <v>53</v>
      </c>
      <c r="C221" s="7"/>
      <c r="D221" s="7" t="s">
        <v>1224</v>
      </c>
      <c r="E221" s="7" t="s">
        <v>53</v>
      </c>
      <c r="F221" s="7"/>
      <c r="G221" s="7"/>
      <c r="H221" s="6" t="s">
        <v>53</v>
      </c>
      <c r="I221" s="15" t="s">
        <v>53</v>
      </c>
      <c r="J221" s="10" t="s">
        <v>53</v>
      </c>
      <c r="K221" s="10"/>
      <c r="L221" s="10" t="s">
        <v>1225</v>
      </c>
    </row>
    <row r="222" ht="228" customHeight="1" spans="1:12">
      <c r="A222" s="6" t="s">
        <v>1226</v>
      </c>
      <c r="B222" s="7" t="s">
        <v>1227</v>
      </c>
      <c r="C222" s="7"/>
      <c r="D222" s="7" t="s">
        <v>1228</v>
      </c>
      <c r="E222" s="7" t="s">
        <v>1229</v>
      </c>
      <c r="F222" s="7"/>
      <c r="G222" s="7"/>
      <c r="H222" s="6" t="s">
        <v>135</v>
      </c>
      <c r="I222" s="9" t="s">
        <v>1230</v>
      </c>
      <c r="J222" s="10" t="s">
        <v>1231</v>
      </c>
      <c r="K222" s="10"/>
      <c r="L222" s="10" t="s">
        <v>1232</v>
      </c>
    </row>
    <row r="223" ht="139" customHeight="1" spans="1:12">
      <c r="A223" s="6" t="s">
        <v>1233</v>
      </c>
      <c r="B223" s="7" t="s">
        <v>1234</v>
      </c>
      <c r="C223" s="7"/>
      <c r="D223" s="7" t="s">
        <v>1235</v>
      </c>
      <c r="E223" s="7" t="s">
        <v>1236</v>
      </c>
      <c r="F223" s="7"/>
      <c r="G223" s="7"/>
      <c r="H223" s="6" t="s">
        <v>135</v>
      </c>
      <c r="I223" s="9" t="s">
        <v>1230</v>
      </c>
      <c r="J223" s="10" t="s">
        <v>1237</v>
      </c>
      <c r="K223" s="10"/>
      <c r="L223" s="10" t="s">
        <v>1238</v>
      </c>
    </row>
    <row r="224" ht="36" customHeight="1" spans="1:12">
      <c r="A224" s="6" t="s">
        <v>53</v>
      </c>
      <c r="B224" s="7" t="s">
        <v>53</v>
      </c>
      <c r="C224" s="7"/>
      <c r="D224" s="7" t="s">
        <v>1239</v>
      </c>
      <c r="E224" s="7" t="s">
        <v>53</v>
      </c>
      <c r="F224" s="7"/>
      <c r="G224" s="7"/>
      <c r="H224" s="6" t="s">
        <v>53</v>
      </c>
      <c r="I224" s="15" t="s">
        <v>53</v>
      </c>
      <c r="J224" s="10" t="s">
        <v>53</v>
      </c>
      <c r="K224" s="10"/>
      <c r="L224" s="10" t="s">
        <v>1240</v>
      </c>
    </row>
    <row r="225" ht="125" customHeight="1" spans="1:12">
      <c r="A225" s="6" t="s">
        <v>1241</v>
      </c>
      <c r="B225" s="7" t="s">
        <v>1242</v>
      </c>
      <c r="C225" s="7"/>
      <c r="D225" s="7" t="s">
        <v>1243</v>
      </c>
      <c r="E225" s="7" t="s">
        <v>1244</v>
      </c>
      <c r="F225" s="7"/>
      <c r="G225" s="7"/>
      <c r="H225" s="6" t="s">
        <v>135</v>
      </c>
      <c r="I225" s="9" t="s">
        <v>1245</v>
      </c>
      <c r="J225" s="10" t="s">
        <v>1246</v>
      </c>
      <c r="K225" s="10"/>
      <c r="L225" s="10" t="s">
        <v>1247</v>
      </c>
    </row>
    <row r="226" ht="125" customHeight="1" spans="1:12">
      <c r="A226" s="6" t="s">
        <v>1248</v>
      </c>
      <c r="B226" s="7" t="s">
        <v>1249</v>
      </c>
      <c r="C226" s="7"/>
      <c r="D226" s="7" t="s">
        <v>1250</v>
      </c>
      <c r="E226" s="7" t="s">
        <v>1251</v>
      </c>
      <c r="F226" s="7"/>
      <c r="G226" s="7"/>
      <c r="H226" s="6" t="s">
        <v>135</v>
      </c>
      <c r="I226" s="9" t="s">
        <v>1252</v>
      </c>
      <c r="J226" s="10" t="s">
        <v>1253</v>
      </c>
      <c r="K226" s="10"/>
      <c r="L226" s="10" t="s">
        <v>1254</v>
      </c>
    </row>
    <row r="227" ht="139" customHeight="1" spans="1:12">
      <c r="A227" s="6" t="s">
        <v>1255</v>
      </c>
      <c r="B227" s="7" t="s">
        <v>1256</v>
      </c>
      <c r="C227" s="7"/>
      <c r="D227" s="7" t="s">
        <v>1257</v>
      </c>
      <c r="E227" s="7" t="s">
        <v>1258</v>
      </c>
      <c r="F227" s="7"/>
      <c r="G227" s="7"/>
      <c r="H227" s="6" t="s">
        <v>135</v>
      </c>
      <c r="I227" s="9" t="s">
        <v>1252</v>
      </c>
      <c r="J227" s="10" t="s">
        <v>1259</v>
      </c>
      <c r="K227" s="10"/>
      <c r="L227" s="10" t="s">
        <v>1260</v>
      </c>
    </row>
    <row r="228" ht="125" customHeight="1" spans="1:12">
      <c r="A228" s="6" t="s">
        <v>1261</v>
      </c>
      <c r="B228" s="7" t="s">
        <v>1262</v>
      </c>
      <c r="C228" s="7"/>
      <c r="D228" s="7" t="s">
        <v>1263</v>
      </c>
      <c r="E228" s="7" t="s">
        <v>1244</v>
      </c>
      <c r="F228" s="7"/>
      <c r="G228" s="7"/>
      <c r="H228" s="6" t="s">
        <v>135</v>
      </c>
      <c r="I228" s="9" t="s">
        <v>1264</v>
      </c>
      <c r="J228" s="10" t="s">
        <v>1265</v>
      </c>
      <c r="K228" s="10"/>
      <c r="L228" s="10" t="s">
        <v>1266</v>
      </c>
    </row>
    <row r="229" ht="125" customHeight="1" spans="1:12">
      <c r="A229" s="6" t="s">
        <v>1267</v>
      </c>
      <c r="B229" s="7" t="s">
        <v>1268</v>
      </c>
      <c r="C229" s="7"/>
      <c r="D229" s="7" t="s">
        <v>1269</v>
      </c>
      <c r="E229" s="7" t="s">
        <v>1251</v>
      </c>
      <c r="F229" s="7"/>
      <c r="G229" s="7"/>
      <c r="H229" s="6" t="s">
        <v>135</v>
      </c>
      <c r="I229" s="9" t="s">
        <v>1264</v>
      </c>
      <c r="J229" s="10" t="s">
        <v>1270</v>
      </c>
      <c r="K229" s="10"/>
      <c r="L229" s="10" t="s">
        <v>1271</v>
      </c>
    </row>
    <row r="230" ht="139" customHeight="1" spans="1:12">
      <c r="A230" s="6" t="s">
        <v>1272</v>
      </c>
      <c r="B230" s="7" t="s">
        <v>1273</v>
      </c>
      <c r="C230" s="7"/>
      <c r="D230" s="7" t="s">
        <v>1274</v>
      </c>
      <c r="E230" s="7" t="s">
        <v>1258</v>
      </c>
      <c r="F230" s="7"/>
      <c r="G230" s="7"/>
      <c r="H230" s="6" t="s">
        <v>135</v>
      </c>
      <c r="I230" s="9" t="s">
        <v>1264</v>
      </c>
      <c r="J230" s="10" t="s">
        <v>1275</v>
      </c>
      <c r="K230" s="10"/>
      <c r="L230" s="10" t="s">
        <v>1276</v>
      </c>
    </row>
    <row r="231" ht="23" customHeight="1" spans="1:12">
      <c r="A231" s="6" t="s">
        <v>53</v>
      </c>
      <c r="B231" s="7" t="s">
        <v>53</v>
      </c>
      <c r="C231" s="7"/>
      <c r="D231" s="7" t="s">
        <v>28</v>
      </c>
      <c r="E231" s="7" t="s">
        <v>53</v>
      </c>
      <c r="F231" s="7"/>
      <c r="G231" s="7"/>
      <c r="H231" s="6" t="s">
        <v>53</v>
      </c>
      <c r="I231" s="15" t="s">
        <v>53</v>
      </c>
      <c r="J231" s="10" t="s">
        <v>53</v>
      </c>
      <c r="K231" s="10"/>
      <c r="L231" s="10" t="s">
        <v>29</v>
      </c>
    </row>
    <row r="232" ht="66" customHeight="1" spans="1:12">
      <c r="A232" s="6" t="s">
        <v>53</v>
      </c>
      <c r="B232" s="7" t="s">
        <v>53</v>
      </c>
      <c r="C232" s="7"/>
      <c r="D232" s="7" t="s">
        <v>1277</v>
      </c>
      <c r="E232" s="7" t="s">
        <v>53</v>
      </c>
      <c r="F232" s="7"/>
      <c r="G232" s="7"/>
      <c r="H232" s="6" t="s">
        <v>53</v>
      </c>
      <c r="I232" s="15" t="s">
        <v>53</v>
      </c>
      <c r="J232" s="10" t="s">
        <v>53</v>
      </c>
      <c r="K232" s="10"/>
      <c r="L232" s="10" t="s">
        <v>1278</v>
      </c>
    </row>
    <row r="233" ht="154" customHeight="1" spans="1:12">
      <c r="A233" s="6" t="s">
        <v>1279</v>
      </c>
      <c r="B233" s="7" t="s">
        <v>1280</v>
      </c>
      <c r="C233" s="7"/>
      <c r="D233" s="7" t="s">
        <v>1281</v>
      </c>
      <c r="E233" s="7" t="s">
        <v>1282</v>
      </c>
      <c r="F233" s="7"/>
      <c r="G233" s="7"/>
      <c r="H233" s="6" t="s">
        <v>135</v>
      </c>
      <c r="I233" s="9" t="s">
        <v>1283</v>
      </c>
      <c r="J233" s="10" t="s">
        <v>1284</v>
      </c>
      <c r="K233" s="10"/>
      <c r="L233" s="10" t="s">
        <v>1285</v>
      </c>
    </row>
    <row r="234" ht="273" customHeight="1" spans="1:12">
      <c r="A234" s="6" t="s">
        <v>1286</v>
      </c>
      <c r="B234" s="7" t="s">
        <v>1287</v>
      </c>
      <c r="C234" s="7"/>
      <c r="D234" s="7" t="s">
        <v>1288</v>
      </c>
      <c r="E234" s="7" t="s">
        <v>1289</v>
      </c>
      <c r="F234" s="7"/>
      <c r="G234" s="7"/>
      <c r="H234" s="6" t="s">
        <v>135</v>
      </c>
      <c r="I234" s="9" t="s">
        <v>1290</v>
      </c>
      <c r="J234" s="10" t="s">
        <v>1291</v>
      </c>
      <c r="K234" s="10"/>
      <c r="L234" s="10" t="s">
        <v>1292</v>
      </c>
    </row>
    <row r="235" ht="273" customHeight="1" spans="1:12">
      <c r="A235" s="6" t="s">
        <v>1293</v>
      </c>
      <c r="B235" s="7" t="s">
        <v>1294</v>
      </c>
      <c r="C235" s="7"/>
      <c r="D235" s="7" t="s">
        <v>1295</v>
      </c>
      <c r="E235" s="7" t="s">
        <v>1296</v>
      </c>
      <c r="F235" s="7"/>
      <c r="G235" s="7"/>
      <c r="H235" s="6" t="s">
        <v>135</v>
      </c>
      <c r="I235" s="9" t="s">
        <v>1297</v>
      </c>
      <c r="J235" s="10" t="s">
        <v>1298</v>
      </c>
      <c r="K235" s="10"/>
      <c r="L235" s="10" t="s">
        <v>1299</v>
      </c>
    </row>
    <row r="236" ht="273" customHeight="1" spans="1:12">
      <c r="A236" s="6" t="s">
        <v>1300</v>
      </c>
      <c r="B236" s="7" t="s">
        <v>1301</v>
      </c>
      <c r="C236" s="7"/>
      <c r="D236" s="7" t="s">
        <v>1302</v>
      </c>
      <c r="E236" s="7" t="s">
        <v>1296</v>
      </c>
      <c r="F236" s="7"/>
      <c r="G236" s="7"/>
      <c r="H236" s="6" t="s">
        <v>135</v>
      </c>
      <c r="I236" s="9" t="s">
        <v>1297</v>
      </c>
      <c r="J236" s="10" t="s">
        <v>1303</v>
      </c>
      <c r="K236" s="10"/>
      <c r="L236" s="10" t="s">
        <v>1304</v>
      </c>
    </row>
    <row r="237" ht="36" customHeight="1" spans="1:12">
      <c r="A237" s="6" t="s">
        <v>53</v>
      </c>
      <c r="B237" s="7" t="s">
        <v>53</v>
      </c>
      <c r="C237" s="7"/>
      <c r="D237" s="7" t="s">
        <v>1305</v>
      </c>
      <c r="E237" s="7" t="s">
        <v>53</v>
      </c>
      <c r="F237" s="7"/>
      <c r="G237" s="7"/>
      <c r="H237" s="6" t="s">
        <v>53</v>
      </c>
      <c r="I237" s="15" t="s">
        <v>53</v>
      </c>
      <c r="J237" s="10" t="s">
        <v>53</v>
      </c>
      <c r="K237" s="10"/>
      <c r="L237" s="10" t="s">
        <v>1306</v>
      </c>
    </row>
    <row r="238" ht="183" customHeight="1" spans="1:12">
      <c r="A238" s="6" t="s">
        <v>1307</v>
      </c>
      <c r="B238" s="7" t="s">
        <v>1308</v>
      </c>
      <c r="C238" s="7"/>
      <c r="D238" s="7" t="s">
        <v>1309</v>
      </c>
      <c r="E238" s="7" t="s">
        <v>1310</v>
      </c>
      <c r="F238" s="7"/>
      <c r="G238" s="7"/>
      <c r="H238" s="6" t="s">
        <v>135</v>
      </c>
      <c r="I238" s="9" t="s">
        <v>1311</v>
      </c>
      <c r="J238" s="10" t="s">
        <v>1312</v>
      </c>
      <c r="K238" s="10"/>
      <c r="L238" s="10" t="s">
        <v>1313</v>
      </c>
    </row>
    <row r="239" ht="273" customHeight="1" spans="1:12">
      <c r="A239" s="6" t="s">
        <v>1314</v>
      </c>
      <c r="B239" s="7" t="s">
        <v>1315</v>
      </c>
      <c r="C239" s="7"/>
      <c r="D239" s="7" t="s">
        <v>1316</v>
      </c>
      <c r="E239" s="7" t="s">
        <v>1317</v>
      </c>
      <c r="F239" s="7"/>
      <c r="G239" s="7"/>
      <c r="H239" s="6" t="s">
        <v>135</v>
      </c>
      <c r="I239" s="9" t="s">
        <v>1311</v>
      </c>
      <c r="J239" s="10" t="s">
        <v>1318</v>
      </c>
      <c r="K239" s="10"/>
      <c r="L239" s="10" t="s">
        <v>1319</v>
      </c>
    </row>
    <row r="240" ht="125" customHeight="1" spans="1:12">
      <c r="A240" s="6" t="s">
        <v>1320</v>
      </c>
      <c r="B240" s="7" t="s">
        <v>1321</v>
      </c>
      <c r="C240" s="7"/>
      <c r="D240" s="7" t="s">
        <v>1322</v>
      </c>
      <c r="E240" s="7" t="s">
        <v>1323</v>
      </c>
      <c r="F240" s="7"/>
      <c r="G240" s="7"/>
      <c r="H240" s="6" t="s">
        <v>135</v>
      </c>
      <c r="I240" s="9" t="s">
        <v>1311</v>
      </c>
      <c r="J240" s="10" t="s">
        <v>1324</v>
      </c>
      <c r="K240" s="10"/>
      <c r="L240" s="10" t="s">
        <v>1325</v>
      </c>
    </row>
    <row r="241" ht="110" customHeight="1" spans="1:12">
      <c r="A241" s="6" t="s">
        <v>1326</v>
      </c>
      <c r="B241" s="7" t="s">
        <v>1327</v>
      </c>
      <c r="C241" s="7"/>
      <c r="D241" s="7" t="s">
        <v>1328</v>
      </c>
      <c r="E241" s="7" t="s">
        <v>1329</v>
      </c>
      <c r="F241" s="7"/>
      <c r="G241" s="7"/>
      <c r="H241" s="6" t="s">
        <v>135</v>
      </c>
      <c r="I241" s="9" t="s">
        <v>1330</v>
      </c>
      <c r="J241" s="10" t="s">
        <v>1331</v>
      </c>
      <c r="K241" s="10"/>
      <c r="L241" s="10" t="s">
        <v>1332</v>
      </c>
    </row>
    <row r="242" ht="154" customHeight="1" spans="1:12">
      <c r="A242" s="6" t="s">
        <v>1333</v>
      </c>
      <c r="B242" s="7" t="s">
        <v>1334</v>
      </c>
      <c r="C242" s="7"/>
      <c r="D242" s="7" t="s">
        <v>1335</v>
      </c>
      <c r="E242" s="7" t="s">
        <v>1336</v>
      </c>
      <c r="F242" s="7"/>
      <c r="G242" s="7"/>
      <c r="H242" s="6" t="s">
        <v>80</v>
      </c>
      <c r="I242" s="9" t="s">
        <v>1337</v>
      </c>
      <c r="J242" s="10" t="s">
        <v>1338</v>
      </c>
      <c r="K242" s="10"/>
      <c r="L242" s="10" t="s">
        <v>1339</v>
      </c>
    </row>
    <row r="243" ht="154" customHeight="1" spans="1:12">
      <c r="A243" s="6" t="s">
        <v>1340</v>
      </c>
      <c r="B243" s="7" t="s">
        <v>1341</v>
      </c>
      <c r="C243" s="7"/>
      <c r="D243" s="7" t="s">
        <v>1309</v>
      </c>
      <c r="E243" s="7" t="s">
        <v>1342</v>
      </c>
      <c r="F243" s="7"/>
      <c r="G243" s="7"/>
      <c r="H243" s="6" t="s">
        <v>135</v>
      </c>
      <c r="I243" s="9" t="s">
        <v>1311</v>
      </c>
      <c r="J243" s="10" t="s">
        <v>1343</v>
      </c>
      <c r="K243" s="10"/>
      <c r="L243" s="10" t="s">
        <v>1344</v>
      </c>
    </row>
    <row r="244" ht="288" customHeight="1" spans="1:12">
      <c r="A244" s="6" t="s">
        <v>1345</v>
      </c>
      <c r="B244" s="7" t="s">
        <v>1346</v>
      </c>
      <c r="C244" s="7"/>
      <c r="D244" s="7" t="s">
        <v>1316</v>
      </c>
      <c r="E244" s="7" t="s">
        <v>1347</v>
      </c>
      <c r="F244" s="7"/>
      <c r="G244" s="7"/>
      <c r="H244" s="6" t="s">
        <v>135</v>
      </c>
      <c r="I244" s="9" t="s">
        <v>1311</v>
      </c>
      <c r="J244" s="10" t="s">
        <v>1253</v>
      </c>
      <c r="K244" s="10"/>
      <c r="L244" s="10" t="s">
        <v>1348</v>
      </c>
    </row>
    <row r="245" ht="154" customHeight="1" spans="1:12">
      <c r="A245" s="6" t="s">
        <v>1349</v>
      </c>
      <c r="B245" s="7" t="s">
        <v>1350</v>
      </c>
      <c r="C245" s="7"/>
      <c r="D245" s="7" t="s">
        <v>1288</v>
      </c>
      <c r="E245" s="7" t="s">
        <v>1351</v>
      </c>
      <c r="F245" s="7"/>
      <c r="G245" s="7"/>
      <c r="H245" s="6" t="s">
        <v>135</v>
      </c>
      <c r="I245" s="9" t="s">
        <v>1311</v>
      </c>
      <c r="J245" s="10" t="s">
        <v>1352</v>
      </c>
      <c r="K245" s="10"/>
      <c r="L245" s="10" t="s">
        <v>1353</v>
      </c>
    </row>
    <row r="246" ht="66" customHeight="1" spans="1:12">
      <c r="A246" s="6" t="s">
        <v>53</v>
      </c>
      <c r="B246" s="7" t="s">
        <v>53</v>
      </c>
      <c r="C246" s="7"/>
      <c r="D246" s="7" t="s">
        <v>1354</v>
      </c>
      <c r="E246" s="7" t="s">
        <v>53</v>
      </c>
      <c r="F246" s="7"/>
      <c r="G246" s="7"/>
      <c r="H246" s="6" t="s">
        <v>53</v>
      </c>
      <c r="I246" s="15" t="s">
        <v>53</v>
      </c>
      <c r="J246" s="10" t="s">
        <v>53</v>
      </c>
      <c r="K246" s="10"/>
      <c r="L246" s="10" t="s">
        <v>1355</v>
      </c>
    </row>
    <row r="247" ht="154" customHeight="1" spans="1:12">
      <c r="A247" s="6" t="s">
        <v>1356</v>
      </c>
      <c r="B247" s="7" t="s">
        <v>1357</v>
      </c>
      <c r="C247" s="7"/>
      <c r="D247" s="7" t="s">
        <v>1281</v>
      </c>
      <c r="E247" s="7" t="s">
        <v>1282</v>
      </c>
      <c r="F247" s="7"/>
      <c r="G247" s="7"/>
      <c r="H247" s="6" t="s">
        <v>135</v>
      </c>
      <c r="I247" s="9" t="s">
        <v>1358</v>
      </c>
      <c r="J247" s="10" t="s">
        <v>1284</v>
      </c>
      <c r="K247" s="10"/>
      <c r="L247" s="10" t="s">
        <v>1359</v>
      </c>
    </row>
    <row r="248" ht="273" customHeight="1" spans="1:12">
      <c r="A248" s="6" t="s">
        <v>1360</v>
      </c>
      <c r="B248" s="7" t="s">
        <v>1361</v>
      </c>
      <c r="C248" s="7"/>
      <c r="D248" s="7" t="s">
        <v>1316</v>
      </c>
      <c r="E248" s="7" t="s">
        <v>1362</v>
      </c>
      <c r="F248" s="7"/>
      <c r="G248" s="7"/>
      <c r="H248" s="6" t="s">
        <v>135</v>
      </c>
      <c r="I248" s="9" t="s">
        <v>1358</v>
      </c>
      <c r="J248" s="10" t="s">
        <v>1253</v>
      </c>
      <c r="K248" s="10"/>
      <c r="L248" s="10" t="s">
        <v>1363</v>
      </c>
    </row>
    <row r="249" ht="273" customHeight="1" spans="1:12">
      <c r="A249" s="6" t="s">
        <v>1364</v>
      </c>
      <c r="B249" s="7" t="s">
        <v>1365</v>
      </c>
      <c r="C249" s="7"/>
      <c r="D249" s="7" t="s">
        <v>1316</v>
      </c>
      <c r="E249" s="7" t="s">
        <v>1362</v>
      </c>
      <c r="F249" s="7"/>
      <c r="G249" s="7"/>
      <c r="H249" s="6" t="s">
        <v>135</v>
      </c>
      <c r="I249" s="9" t="s">
        <v>1358</v>
      </c>
      <c r="J249" s="10" t="s">
        <v>1253</v>
      </c>
      <c r="K249" s="10"/>
      <c r="L249" s="10" t="s">
        <v>1363</v>
      </c>
    </row>
    <row r="250" ht="154" customHeight="1" spans="1:12">
      <c r="A250" s="6" t="s">
        <v>1366</v>
      </c>
      <c r="B250" s="7" t="s">
        <v>1367</v>
      </c>
      <c r="C250" s="7"/>
      <c r="D250" s="7" t="s">
        <v>1288</v>
      </c>
      <c r="E250" s="7" t="s">
        <v>1368</v>
      </c>
      <c r="F250" s="7"/>
      <c r="G250" s="7"/>
      <c r="H250" s="6" t="s">
        <v>135</v>
      </c>
      <c r="I250" s="9" t="s">
        <v>1358</v>
      </c>
      <c r="J250" s="10" t="s">
        <v>1369</v>
      </c>
      <c r="K250" s="10"/>
      <c r="L250" s="10" t="s">
        <v>1370</v>
      </c>
    </row>
    <row r="251" ht="66" customHeight="1" spans="1:12">
      <c r="A251" s="6" t="s">
        <v>53</v>
      </c>
      <c r="B251" s="7" t="s">
        <v>53</v>
      </c>
      <c r="C251" s="7"/>
      <c r="D251" s="7" t="s">
        <v>1371</v>
      </c>
      <c r="E251" s="7" t="s">
        <v>53</v>
      </c>
      <c r="F251" s="7"/>
      <c r="G251" s="7"/>
      <c r="H251" s="6" t="s">
        <v>53</v>
      </c>
      <c r="I251" s="15" t="s">
        <v>53</v>
      </c>
      <c r="J251" s="10" t="s">
        <v>53</v>
      </c>
      <c r="K251" s="10"/>
      <c r="L251" s="10" t="s">
        <v>1372</v>
      </c>
    </row>
    <row r="252" ht="183" customHeight="1" spans="1:12">
      <c r="A252" s="6" t="s">
        <v>1373</v>
      </c>
      <c r="B252" s="7" t="s">
        <v>1374</v>
      </c>
      <c r="C252" s="7"/>
      <c r="D252" s="7" t="s">
        <v>1309</v>
      </c>
      <c r="E252" s="7" t="s">
        <v>1375</v>
      </c>
      <c r="F252" s="7"/>
      <c r="G252" s="7"/>
      <c r="H252" s="6" t="s">
        <v>135</v>
      </c>
      <c r="I252" s="9" t="s">
        <v>1376</v>
      </c>
      <c r="J252" s="10" t="s">
        <v>1377</v>
      </c>
      <c r="K252" s="10"/>
      <c r="L252" s="10" t="s">
        <v>1378</v>
      </c>
    </row>
    <row r="253" ht="273" customHeight="1" spans="1:12">
      <c r="A253" s="6" t="s">
        <v>1379</v>
      </c>
      <c r="B253" s="7" t="s">
        <v>1380</v>
      </c>
      <c r="C253" s="7"/>
      <c r="D253" s="7" t="s">
        <v>1316</v>
      </c>
      <c r="E253" s="7" t="s">
        <v>1362</v>
      </c>
      <c r="F253" s="7"/>
      <c r="G253" s="7"/>
      <c r="H253" s="6" t="s">
        <v>135</v>
      </c>
      <c r="I253" s="9" t="s">
        <v>1381</v>
      </c>
      <c r="J253" s="10" t="s">
        <v>1253</v>
      </c>
      <c r="K253" s="10"/>
      <c r="L253" s="10" t="s">
        <v>1382</v>
      </c>
    </row>
    <row r="254" ht="273" customHeight="1" spans="1:12">
      <c r="A254" s="6" t="s">
        <v>1383</v>
      </c>
      <c r="B254" s="7" t="s">
        <v>1384</v>
      </c>
      <c r="C254" s="7"/>
      <c r="D254" s="7" t="s">
        <v>1316</v>
      </c>
      <c r="E254" s="7" t="s">
        <v>1362</v>
      </c>
      <c r="F254" s="7"/>
      <c r="G254" s="7"/>
      <c r="H254" s="6" t="s">
        <v>135</v>
      </c>
      <c r="I254" s="9" t="s">
        <v>1381</v>
      </c>
      <c r="J254" s="10" t="s">
        <v>1253</v>
      </c>
      <c r="K254" s="10"/>
      <c r="L254" s="10" t="s">
        <v>1382</v>
      </c>
    </row>
    <row r="255" ht="154" customHeight="1" spans="1:12">
      <c r="A255" s="6" t="s">
        <v>1385</v>
      </c>
      <c r="B255" s="7" t="s">
        <v>1386</v>
      </c>
      <c r="C255" s="7"/>
      <c r="D255" s="7" t="s">
        <v>1288</v>
      </c>
      <c r="E255" s="7" t="s">
        <v>1368</v>
      </c>
      <c r="F255" s="7"/>
      <c r="G255" s="7"/>
      <c r="H255" s="6" t="s">
        <v>135</v>
      </c>
      <c r="I255" s="9" t="s">
        <v>1376</v>
      </c>
      <c r="J255" s="10" t="s">
        <v>1369</v>
      </c>
      <c r="K255" s="10"/>
      <c r="L255" s="10" t="s">
        <v>1387</v>
      </c>
    </row>
    <row r="256" ht="51" customHeight="1" spans="1:12">
      <c r="A256" s="6" t="s">
        <v>53</v>
      </c>
      <c r="B256" s="7" t="s">
        <v>53</v>
      </c>
      <c r="C256" s="7"/>
      <c r="D256" s="7" t="s">
        <v>1388</v>
      </c>
      <c r="E256" s="7" t="s">
        <v>53</v>
      </c>
      <c r="F256" s="7"/>
      <c r="G256" s="7"/>
      <c r="H256" s="6" t="s">
        <v>53</v>
      </c>
      <c r="I256" s="15" t="s">
        <v>53</v>
      </c>
      <c r="J256" s="10" t="s">
        <v>53</v>
      </c>
      <c r="K256" s="10"/>
      <c r="L256" s="10" t="s">
        <v>1389</v>
      </c>
    </row>
    <row r="257" ht="125" customHeight="1" spans="1:12">
      <c r="A257" s="6" t="s">
        <v>1390</v>
      </c>
      <c r="B257" s="7" t="s">
        <v>1391</v>
      </c>
      <c r="C257" s="7"/>
      <c r="D257" s="7" t="s">
        <v>1281</v>
      </c>
      <c r="E257" s="7" t="s">
        <v>1392</v>
      </c>
      <c r="F257" s="7"/>
      <c r="G257" s="7"/>
      <c r="H257" s="6" t="s">
        <v>135</v>
      </c>
      <c r="I257" s="9" t="s">
        <v>1393</v>
      </c>
      <c r="J257" s="10" t="s">
        <v>1394</v>
      </c>
      <c r="K257" s="10"/>
      <c r="L257" s="10" t="s">
        <v>1395</v>
      </c>
    </row>
    <row r="258" ht="154" customHeight="1" spans="1:12">
      <c r="A258" s="6" t="s">
        <v>1396</v>
      </c>
      <c r="B258" s="7" t="s">
        <v>1397</v>
      </c>
      <c r="C258" s="7"/>
      <c r="D258" s="7" t="s">
        <v>1398</v>
      </c>
      <c r="E258" s="7" t="s">
        <v>1399</v>
      </c>
      <c r="F258" s="7"/>
      <c r="G258" s="7"/>
      <c r="H258" s="6" t="s">
        <v>135</v>
      </c>
      <c r="I258" s="9" t="s">
        <v>1393</v>
      </c>
      <c r="J258" s="10" t="s">
        <v>1400</v>
      </c>
      <c r="K258" s="10"/>
      <c r="L258" s="10" t="s">
        <v>1401</v>
      </c>
    </row>
    <row r="259" ht="169" customHeight="1" spans="1:12">
      <c r="A259" s="6" t="s">
        <v>1402</v>
      </c>
      <c r="B259" s="7" t="s">
        <v>1403</v>
      </c>
      <c r="C259" s="7"/>
      <c r="D259" s="7" t="s">
        <v>1404</v>
      </c>
      <c r="E259" s="7" t="s">
        <v>1405</v>
      </c>
      <c r="F259" s="7"/>
      <c r="G259" s="7"/>
      <c r="H259" s="6" t="s">
        <v>135</v>
      </c>
      <c r="I259" s="9" t="s">
        <v>1393</v>
      </c>
      <c r="J259" s="10" t="s">
        <v>1406</v>
      </c>
      <c r="K259" s="10"/>
      <c r="L259" s="10" t="s">
        <v>1407</v>
      </c>
    </row>
    <row r="260" ht="288" customHeight="1" spans="1:12">
      <c r="A260" s="6" t="s">
        <v>1408</v>
      </c>
      <c r="B260" s="7" t="s">
        <v>1409</v>
      </c>
      <c r="C260" s="7"/>
      <c r="D260" s="7" t="s">
        <v>1410</v>
      </c>
      <c r="E260" s="7" t="s">
        <v>1411</v>
      </c>
      <c r="F260" s="7"/>
      <c r="G260" s="7"/>
      <c r="H260" s="6" t="s">
        <v>135</v>
      </c>
      <c r="I260" s="9" t="s">
        <v>1393</v>
      </c>
      <c r="J260" s="10" t="s">
        <v>1412</v>
      </c>
      <c r="K260" s="10"/>
      <c r="L260" s="10" t="s">
        <v>1413</v>
      </c>
    </row>
    <row r="261" ht="51" customHeight="1" spans="1:12">
      <c r="A261" s="6" t="s">
        <v>53</v>
      </c>
      <c r="B261" s="7" t="s">
        <v>53</v>
      </c>
      <c r="C261" s="7"/>
      <c r="D261" s="7" t="s">
        <v>1414</v>
      </c>
      <c r="E261" s="7" t="s">
        <v>53</v>
      </c>
      <c r="F261" s="7"/>
      <c r="G261" s="7"/>
      <c r="H261" s="6" t="s">
        <v>53</v>
      </c>
      <c r="I261" s="15" t="s">
        <v>53</v>
      </c>
      <c r="J261" s="10" t="s">
        <v>53</v>
      </c>
      <c r="K261" s="10"/>
      <c r="L261" s="10" t="s">
        <v>1415</v>
      </c>
    </row>
    <row r="262" ht="154" customHeight="1" spans="1:12">
      <c r="A262" s="6" t="s">
        <v>1416</v>
      </c>
      <c r="B262" s="7" t="s">
        <v>1417</v>
      </c>
      <c r="C262" s="7"/>
      <c r="D262" s="7" t="s">
        <v>1281</v>
      </c>
      <c r="E262" s="7" t="s">
        <v>1282</v>
      </c>
      <c r="F262" s="7"/>
      <c r="G262" s="7"/>
      <c r="H262" s="6" t="s">
        <v>135</v>
      </c>
      <c r="I262" s="9" t="s">
        <v>1418</v>
      </c>
      <c r="J262" s="10" t="s">
        <v>1284</v>
      </c>
      <c r="K262" s="10"/>
      <c r="L262" s="10" t="s">
        <v>1419</v>
      </c>
    </row>
    <row r="263" ht="154" customHeight="1" spans="1:12">
      <c r="A263" s="6" t="s">
        <v>1420</v>
      </c>
      <c r="B263" s="7" t="s">
        <v>1421</v>
      </c>
      <c r="C263" s="7"/>
      <c r="D263" s="7" t="s">
        <v>1309</v>
      </c>
      <c r="E263" s="7" t="s">
        <v>1422</v>
      </c>
      <c r="F263" s="7"/>
      <c r="G263" s="7"/>
      <c r="H263" s="6" t="s">
        <v>135</v>
      </c>
      <c r="I263" s="9" t="s">
        <v>1418</v>
      </c>
      <c r="J263" s="10" t="s">
        <v>1377</v>
      </c>
      <c r="K263" s="10"/>
      <c r="L263" s="10" t="s">
        <v>1423</v>
      </c>
    </row>
    <row r="264" ht="110" customHeight="1" spans="1:12">
      <c r="A264" s="6" t="s">
        <v>1424</v>
      </c>
      <c r="B264" s="7" t="s">
        <v>1425</v>
      </c>
      <c r="C264" s="7"/>
      <c r="D264" s="7" t="s">
        <v>1410</v>
      </c>
      <c r="E264" s="7" t="s">
        <v>1426</v>
      </c>
      <c r="F264" s="7"/>
      <c r="G264" s="7"/>
      <c r="H264" s="6" t="s">
        <v>135</v>
      </c>
      <c r="I264" s="9" t="s">
        <v>1418</v>
      </c>
      <c r="J264" s="10" t="s">
        <v>1412</v>
      </c>
      <c r="K264" s="10"/>
      <c r="L264" s="10" t="s">
        <v>1427</v>
      </c>
    </row>
    <row r="265" ht="23" customHeight="1" spans="1:12">
      <c r="A265" s="6" t="s">
        <v>1428</v>
      </c>
      <c r="B265" s="7" t="s">
        <v>1429</v>
      </c>
      <c r="C265" s="7"/>
      <c r="D265" s="7" t="s">
        <v>1430</v>
      </c>
      <c r="E265" s="7" t="s">
        <v>1431</v>
      </c>
      <c r="F265" s="7"/>
      <c r="G265" s="7"/>
      <c r="H265" s="6" t="s">
        <v>80</v>
      </c>
      <c r="I265" s="9" t="s">
        <v>1432</v>
      </c>
      <c r="J265" s="10" t="s">
        <v>1433</v>
      </c>
      <c r="K265" s="10"/>
      <c r="L265" s="10" t="s">
        <v>1434</v>
      </c>
    </row>
    <row r="266" ht="110" customHeight="1" spans="1:12">
      <c r="A266" s="6" t="s">
        <v>53</v>
      </c>
      <c r="B266" s="7" t="s">
        <v>53</v>
      </c>
      <c r="C266" s="7"/>
      <c r="D266" s="7" t="s">
        <v>1435</v>
      </c>
      <c r="E266" s="7" t="s">
        <v>53</v>
      </c>
      <c r="F266" s="7"/>
      <c r="G266" s="7"/>
      <c r="H266" s="6" t="s">
        <v>53</v>
      </c>
      <c r="I266" s="15" t="s">
        <v>53</v>
      </c>
      <c r="J266" s="10" t="s">
        <v>53</v>
      </c>
      <c r="K266" s="10"/>
      <c r="L266" s="10" t="s">
        <v>1436</v>
      </c>
    </row>
    <row r="267" ht="154" customHeight="1" spans="1:12">
      <c r="A267" s="6" t="s">
        <v>1437</v>
      </c>
      <c r="B267" s="7" t="s">
        <v>1438</v>
      </c>
      <c r="C267" s="7"/>
      <c r="D267" s="7" t="s">
        <v>1281</v>
      </c>
      <c r="E267" s="7" t="s">
        <v>1282</v>
      </c>
      <c r="F267" s="7"/>
      <c r="G267" s="7"/>
      <c r="H267" s="6" t="s">
        <v>135</v>
      </c>
      <c r="I267" s="9" t="s">
        <v>1439</v>
      </c>
      <c r="J267" s="10" t="s">
        <v>1284</v>
      </c>
      <c r="K267" s="10"/>
      <c r="L267" s="10" t="s">
        <v>1440</v>
      </c>
    </row>
    <row r="268" ht="169" customHeight="1" spans="1:12">
      <c r="A268" s="6" t="s">
        <v>1441</v>
      </c>
      <c r="B268" s="7" t="s">
        <v>1442</v>
      </c>
      <c r="C268" s="7"/>
      <c r="D268" s="7" t="s">
        <v>1443</v>
      </c>
      <c r="E268" s="7" t="s">
        <v>1444</v>
      </c>
      <c r="F268" s="7"/>
      <c r="G268" s="7"/>
      <c r="H268" s="6" t="s">
        <v>135</v>
      </c>
      <c r="I268" s="9" t="s">
        <v>1439</v>
      </c>
      <c r="J268" s="10" t="s">
        <v>1445</v>
      </c>
      <c r="K268" s="10"/>
      <c r="L268" s="10" t="s">
        <v>1446</v>
      </c>
    </row>
    <row r="269" ht="51" customHeight="1" spans="1:12">
      <c r="A269" s="6" t="s">
        <v>53</v>
      </c>
      <c r="B269" s="7" t="s">
        <v>53</v>
      </c>
      <c r="C269" s="7"/>
      <c r="D269" s="7" t="s">
        <v>1447</v>
      </c>
      <c r="E269" s="7" t="s">
        <v>53</v>
      </c>
      <c r="F269" s="7"/>
      <c r="G269" s="7"/>
      <c r="H269" s="6" t="s">
        <v>53</v>
      </c>
      <c r="I269" s="15" t="s">
        <v>53</v>
      </c>
      <c r="J269" s="10" t="s">
        <v>53</v>
      </c>
      <c r="K269" s="10"/>
      <c r="L269" s="10" t="s">
        <v>1448</v>
      </c>
    </row>
    <row r="270" ht="154" customHeight="1" spans="1:12">
      <c r="A270" s="6" t="s">
        <v>1449</v>
      </c>
      <c r="B270" s="7" t="s">
        <v>1450</v>
      </c>
      <c r="C270" s="7"/>
      <c r="D270" s="7" t="s">
        <v>1281</v>
      </c>
      <c r="E270" s="7" t="s">
        <v>1282</v>
      </c>
      <c r="F270" s="7"/>
      <c r="G270" s="7"/>
      <c r="H270" s="6" t="s">
        <v>135</v>
      </c>
      <c r="I270" s="9" t="s">
        <v>1451</v>
      </c>
      <c r="J270" s="10" t="s">
        <v>1284</v>
      </c>
      <c r="K270" s="10"/>
      <c r="L270" s="10" t="s">
        <v>1452</v>
      </c>
    </row>
    <row r="271" ht="198" customHeight="1" spans="1:12">
      <c r="A271" s="6" t="s">
        <v>1453</v>
      </c>
      <c r="B271" s="7" t="s">
        <v>1454</v>
      </c>
      <c r="C271" s="7"/>
      <c r="D271" s="7" t="s">
        <v>1309</v>
      </c>
      <c r="E271" s="7" t="s">
        <v>1455</v>
      </c>
      <c r="F271" s="7"/>
      <c r="G271" s="7"/>
      <c r="H271" s="6" t="s">
        <v>135</v>
      </c>
      <c r="I271" s="9" t="s">
        <v>1451</v>
      </c>
      <c r="J271" s="10" t="s">
        <v>1456</v>
      </c>
      <c r="K271" s="10"/>
      <c r="L271" s="10" t="s">
        <v>1457</v>
      </c>
    </row>
    <row r="272" ht="169" customHeight="1" spans="1:12">
      <c r="A272" s="6" t="s">
        <v>1458</v>
      </c>
      <c r="B272" s="7" t="s">
        <v>1459</v>
      </c>
      <c r="C272" s="7"/>
      <c r="D272" s="7" t="s">
        <v>1443</v>
      </c>
      <c r="E272" s="7" t="s">
        <v>1444</v>
      </c>
      <c r="F272" s="7"/>
      <c r="G272" s="7"/>
      <c r="H272" s="6" t="s">
        <v>135</v>
      </c>
      <c r="I272" s="9" t="s">
        <v>1451</v>
      </c>
      <c r="J272" s="10" t="s">
        <v>1445</v>
      </c>
      <c r="K272" s="10"/>
      <c r="L272" s="10" t="s">
        <v>1460</v>
      </c>
    </row>
    <row r="273" ht="36" customHeight="1" spans="1:12">
      <c r="A273" s="6" t="s">
        <v>53</v>
      </c>
      <c r="B273" s="7" t="s">
        <v>53</v>
      </c>
      <c r="C273" s="7"/>
      <c r="D273" s="7" t="s">
        <v>1461</v>
      </c>
      <c r="E273" s="7" t="s">
        <v>53</v>
      </c>
      <c r="F273" s="7"/>
      <c r="G273" s="7"/>
      <c r="H273" s="6" t="s">
        <v>53</v>
      </c>
      <c r="I273" s="15" t="s">
        <v>53</v>
      </c>
      <c r="J273" s="10" t="s">
        <v>53</v>
      </c>
      <c r="K273" s="10"/>
      <c r="L273" s="10" t="s">
        <v>1462</v>
      </c>
    </row>
    <row r="274" ht="154" customHeight="1" spans="1:12">
      <c r="A274" s="6" t="s">
        <v>1463</v>
      </c>
      <c r="B274" s="7" t="s">
        <v>1464</v>
      </c>
      <c r="C274" s="7"/>
      <c r="D274" s="7" t="s">
        <v>1281</v>
      </c>
      <c r="E274" s="7" t="s">
        <v>1282</v>
      </c>
      <c r="F274" s="7"/>
      <c r="G274" s="7"/>
      <c r="H274" s="6" t="s">
        <v>135</v>
      </c>
      <c r="I274" s="9" t="s">
        <v>1465</v>
      </c>
      <c r="J274" s="10" t="s">
        <v>1284</v>
      </c>
      <c r="K274" s="10"/>
      <c r="L274" s="10" t="s">
        <v>1462</v>
      </c>
    </row>
    <row r="275" ht="36" customHeight="1" spans="1:12">
      <c r="A275" s="6" t="s">
        <v>53</v>
      </c>
      <c r="B275" s="7" t="s">
        <v>53</v>
      </c>
      <c r="C275" s="7"/>
      <c r="D275" s="7" t="s">
        <v>1466</v>
      </c>
      <c r="E275" s="7" t="s">
        <v>53</v>
      </c>
      <c r="F275" s="7"/>
      <c r="G275" s="7"/>
      <c r="H275" s="6" t="s">
        <v>53</v>
      </c>
      <c r="I275" s="15" t="s">
        <v>53</v>
      </c>
      <c r="J275" s="10" t="s">
        <v>53</v>
      </c>
      <c r="K275" s="10"/>
      <c r="L275" s="10" t="s">
        <v>1467</v>
      </c>
    </row>
    <row r="276" ht="125" customHeight="1" spans="1:12">
      <c r="A276" s="6" t="s">
        <v>1468</v>
      </c>
      <c r="B276" s="7" t="s">
        <v>1469</v>
      </c>
      <c r="C276" s="7"/>
      <c r="D276" s="7" t="s">
        <v>1470</v>
      </c>
      <c r="E276" s="7" t="s">
        <v>1471</v>
      </c>
      <c r="F276" s="7"/>
      <c r="G276" s="7"/>
      <c r="H276" s="6" t="s">
        <v>135</v>
      </c>
      <c r="I276" s="9" t="s">
        <v>1472</v>
      </c>
      <c r="J276" s="10" t="s">
        <v>1473</v>
      </c>
      <c r="K276" s="10"/>
      <c r="L276" s="10" t="s">
        <v>1474</v>
      </c>
    </row>
    <row r="277" ht="302" customHeight="1" spans="1:12">
      <c r="A277" s="6" t="s">
        <v>1475</v>
      </c>
      <c r="B277" s="7" t="s">
        <v>1476</v>
      </c>
      <c r="C277" s="7"/>
      <c r="D277" s="7" t="s">
        <v>1398</v>
      </c>
      <c r="E277" s="7" t="s">
        <v>1477</v>
      </c>
      <c r="F277" s="7"/>
      <c r="G277" s="7"/>
      <c r="H277" s="6" t="s">
        <v>135</v>
      </c>
      <c r="I277" s="9" t="s">
        <v>1472</v>
      </c>
      <c r="J277" s="10" t="s">
        <v>1478</v>
      </c>
      <c r="K277" s="10"/>
      <c r="L277" s="10" t="s">
        <v>1479</v>
      </c>
    </row>
    <row r="278" ht="51" customHeight="1" spans="1:12">
      <c r="A278" s="6" t="s">
        <v>53</v>
      </c>
      <c r="B278" s="7" t="s">
        <v>53</v>
      </c>
      <c r="C278" s="7"/>
      <c r="D278" s="7" t="s">
        <v>1480</v>
      </c>
      <c r="E278" s="7" t="s">
        <v>53</v>
      </c>
      <c r="F278" s="7"/>
      <c r="G278" s="7"/>
      <c r="H278" s="6" t="s">
        <v>53</v>
      </c>
      <c r="I278" s="15" t="s">
        <v>53</v>
      </c>
      <c r="J278" s="10" t="s">
        <v>53</v>
      </c>
      <c r="K278" s="10"/>
      <c r="L278" s="10" t="s">
        <v>1481</v>
      </c>
    </row>
    <row r="279" ht="154" customHeight="1" spans="1:12">
      <c r="A279" s="6" t="s">
        <v>1482</v>
      </c>
      <c r="B279" s="7" t="s">
        <v>1483</v>
      </c>
      <c r="C279" s="7"/>
      <c r="D279" s="7" t="s">
        <v>1281</v>
      </c>
      <c r="E279" s="7" t="s">
        <v>1282</v>
      </c>
      <c r="F279" s="7"/>
      <c r="G279" s="7"/>
      <c r="H279" s="6" t="s">
        <v>135</v>
      </c>
      <c r="I279" s="9" t="s">
        <v>1484</v>
      </c>
      <c r="J279" s="10" t="s">
        <v>1284</v>
      </c>
      <c r="K279" s="10"/>
      <c r="L279" s="10" t="s">
        <v>1485</v>
      </c>
    </row>
    <row r="280" ht="154" customHeight="1" spans="1:12">
      <c r="A280" s="6" t="s">
        <v>1486</v>
      </c>
      <c r="B280" s="7" t="s">
        <v>1487</v>
      </c>
      <c r="C280" s="7"/>
      <c r="D280" s="7" t="s">
        <v>1488</v>
      </c>
      <c r="E280" s="7" t="s">
        <v>1489</v>
      </c>
      <c r="F280" s="7"/>
      <c r="G280" s="7"/>
      <c r="H280" s="6" t="s">
        <v>135</v>
      </c>
      <c r="I280" s="9" t="s">
        <v>1484</v>
      </c>
      <c r="J280" s="10" t="s">
        <v>1490</v>
      </c>
      <c r="K280" s="10"/>
      <c r="L280" s="10" t="s">
        <v>1491</v>
      </c>
    </row>
    <row r="281" ht="139" customHeight="1" spans="1:12">
      <c r="A281" s="6" t="s">
        <v>1492</v>
      </c>
      <c r="B281" s="7" t="s">
        <v>1493</v>
      </c>
      <c r="C281" s="7"/>
      <c r="D281" s="7" t="s">
        <v>1494</v>
      </c>
      <c r="E281" s="7" t="s">
        <v>1495</v>
      </c>
      <c r="F281" s="7"/>
      <c r="G281" s="7"/>
      <c r="H281" s="6" t="s">
        <v>135</v>
      </c>
      <c r="I281" s="9" t="s">
        <v>1484</v>
      </c>
      <c r="J281" s="10" t="s">
        <v>1412</v>
      </c>
      <c r="K281" s="10"/>
      <c r="L281" s="10" t="s">
        <v>1496</v>
      </c>
    </row>
    <row r="282" ht="139" customHeight="1" spans="1:12">
      <c r="A282" s="6" t="s">
        <v>1497</v>
      </c>
      <c r="B282" s="7" t="s">
        <v>1498</v>
      </c>
      <c r="C282" s="7"/>
      <c r="D282" s="7" t="s">
        <v>1499</v>
      </c>
      <c r="E282" s="7" t="s">
        <v>1500</v>
      </c>
      <c r="F282" s="7"/>
      <c r="G282" s="7"/>
      <c r="H282" s="6" t="s">
        <v>135</v>
      </c>
      <c r="I282" s="9" t="s">
        <v>1484</v>
      </c>
      <c r="J282" s="10" t="s">
        <v>1501</v>
      </c>
      <c r="K282" s="10"/>
      <c r="L282" s="10" t="s">
        <v>1502</v>
      </c>
    </row>
    <row r="283" ht="36" customHeight="1" spans="1:12">
      <c r="A283" s="6" t="s">
        <v>53</v>
      </c>
      <c r="B283" s="7" t="s">
        <v>53</v>
      </c>
      <c r="C283" s="7"/>
      <c r="D283" s="7" t="s">
        <v>1503</v>
      </c>
      <c r="E283" s="7" t="s">
        <v>53</v>
      </c>
      <c r="F283" s="7"/>
      <c r="G283" s="7"/>
      <c r="H283" s="6" t="s">
        <v>53</v>
      </c>
      <c r="I283" s="15" t="s">
        <v>53</v>
      </c>
      <c r="J283" s="10" t="s">
        <v>53</v>
      </c>
      <c r="K283" s="10"/>
      <c r="L283" s="10" t="s">
        <v>1504</v>
      </c>
    </row>
    <row r="284" ht="154" customHeight="1" spans="1:12">
      <c r="A284" s="6" t="s">
        <v>1505</v>
      </c>
      <c r="B284" s="7" t="s">
        <v>1506</v>
      </c>
      <c r="C284" s="7"/>
      <c r="D284" s="7" t="s">
        <v>1281</v>
      </c>
      <c r="E284" s="7" t="s">
        <v>1282</v>
      </c>
      <c r="F284" s="7"/>
      <c r="G284" s="7"/>
      <c r="H284" s="6" t="s">
        <v>135</v>
      </c>
      <c r="I284" s="9" t="s">
        <v>1507</v>
      </c>
      <c r="J284" s="10" t="s">
        <v>1284</v>
      </c>
      <c r="K284" s="10"/>
      <c r="L284" s="10" t="s">
        <v>1508</v>
      </c>
    </row>
    <row r="285" ht="198" customHeight="1" spans="1:12">
      <c r="A285" s="6" t="s">
        <v>1509</v>
      </c>
      <c r="B285" s="7" t="s">
        <v>1510</v>
      </c>
      <c r="C285" s="7"/>
      <c r="D285" s="7" t="s">
        <v>1488</v>
      </c>
      <c r="E285" s="7" t="s">
        <v>1511</v>
      </c>
      <c r="F285" s="7"/>
      <c r="G285" s="7"/>
      <c r="H285" s="6" t="s">
        <v>135</v>
      </c>
      <c r="I285" s="9" t="s">
        <v>1507</v>
      </c>
      <c r="J285" s="10" t="s">
        <v>1512</v>
      </c>
      <c r="K285" s="10"/>
      <c r="L285" s="10" t="s">
        <v>1513</v>
      </c>
    </row>
    <row r="286" ht="51" customHeight="1" spans="1:12">
      <c r="A286" s="6" t="s">
        <v>53</v>
      </c>
      <c r="B286" s="7" t="s">
        <v>53</v>
      </c>
      <c r="C286" s="7"/>
      <c r="D286" s="7" t="s">
        <v>1514</v>
      </c>
      <c r="E286" s="7" t="s">
        <v>53</v>
      </c>
      <c r="F286" s="7"/>
      <c r="G286" s="7"/>
      <c r="H286" s="6" t="s">
        <v>53</v>
      </c>
      <c r="I286" s="15" t="s">
        <v>53</v>
      </c>
      <c r="J286" s="10" t="s">
        <v>53</v>
      </c>
      <c r="K286" s="10"/>
      <c r="L286" s="10" t="s">
        <v>1515</v>
      </c>
    </row>
    <row r="287" ht="154" customHeight="1" spans="1:12">
      <c r="A287" s="6" t="s">
        <v>1516</v>
      </c>
      <c r="B287" s="7" t="s">
        <v>1517</v>
      </c>
      <c r="C287" s="7"/>
      <c r="D287" s="7" t="s">
        <v>1281</v>
      </c>
      <c r="E287" s="7" t="s">
        <v>1282</v>
      </c>
      <c r="F287" s="7"/>
      <c r="G287" s="7"/>
      <c r="H287" s="6" t="s">
        <v>135</v>
      </c>
      <c r="I287" s="9" t="s">
        <v>1518</v>
      </c>
      <c r="J287" s="10" t="s">
        <v>1284</v>
      </c>
      <c r="K287" s="10"/>
      <c r="L287" s="10" t="s">
        <v>1519</v>
      </c>
    </row>
    <row r="288" ht="183" customHeight="1" spans="1:12">
      <c r="A288" s="6" t="s">
        <v>1520</v>
      </c>
      <c r="B288" s="7" t="s">
        <v>1521</v>
      </c>
      <c r="C288" s="7"/>
      <c r="D288" s="7" t="s">
        <v>1309</v>
      </c>
      <c r="E288" s="7" t="s">
        <v>1310</v>
      </c>
      <c r="F288" s="7"/>
      <c r="G288" s="7"/>
      <c r="H288" s="6" t="s">
        <v>135</v>
      </c>
      <c r="I288" s="9" t="s">
        <v>1518</v>
      </c>
      <c r="J288" s="10" t="s">
        <v>1312</v>
      </c>
      <c r="K288" s="10"/>
      <c r="L288" s="10" t="s">
        <v>1522</v>
      </c>
    </row>
    <row r="289" ht="139" customHeight="1" spans="1:12">
      <c r="A289" s="6" t="s">
        <v>1523</v>
      </c>
      <c r="B289" s="7" t="s">
        <v>1524</v>
      </c>
      <c r="C289" s="7"/>
      <c r="D289" s="7" t="s">
        <v>1316</v>
      </c>
      <c r="E289" s="7" t="s">
        <v>1525</v>
      </c>
      <c r="F289" s="7"/>
      <c r="G289" s="7"/>
      <c r="H289" s="6" t="s">
        <v>135</v>
      </c>
      <c r="I289" s="9" t="s">
        <v>1518</v>
      </c>
      <c r="J289" s="10" t="s">
        <v>1253</v>
      </c>
      <c r="K289" s="10"/>
      <c r="L289" s="10" t="s">
        <v>1526</v>
      </c>
    </row>
    <row r="290" ht="139" customHeight="1" spans="1:12">
      <c r="A290" s="6" t="s">
        <v>1527</v>
      </c>
      <c r="B290" s="7" t="s">
        <v>1528</v>
      </c>
      <c r="C290" s="7"/>
      <c r="D290" s="7" t="s">
        <v>1316</v>
      </c>
      <c r="E290" s="7" t="s">
        <v>1525</v>
      </c>
      <c r="F290" s="7"/>
      <c r="G290" s="7"/>
      <c r="H290" s="6" t="s">
        <v>135</v>
      </c>
      <c r="I290" s="9" t="s">
        <v>1518</v>
      </c>
      <c r="J290" s="10" t="s">
        <v>1253</v>
      </c>
      <c r="K290" s="10"/>
      <c r="L290" s="10" t="s">
        <v>1526</v>
      </c>
    </row>
    <row r="291" ht="125" customHeight="1" spans="1:12">
      <c r="A291" s="6" t="s">
        <v>1529</v>
      </c>
      <c r="B291" s="7" t="s">
        <v>1530</v>
      </c>
      <c r="C291" s="7"/>
      <c r="D291" s="7" t="s">
        <v>1322</v>
      </c>
      <c r="E291" s="7" t="s">
        <v>1323</v>
      </c>
      <c r="F291" s="7"/>
      <c r="G291" s="7"/>
      <c r="H291" s="6" t="s">
        <v>135</v>
      </c>
      <c r="I291" s="9" t="s">
        <v>1518</v>
      </c>
      <c r="J291" s="10" t="s">
        <v>1324</v>
      </c>
      <c r="K291" s="10"/>
      <c r="L291" s="10" t="s">
        <v>1531</v>
      </c>
    </row>
    <row r="292" ht="110" customHeight="1" spans="1:12">
      <c r="A292" s="6" t="s">
        <v>1532</v>
      </c>
      <c r="B292" s="7" t="s">
        <v>1533</v>
      </c>
      <c r="C292" s="7"/>
      <c r="D292" s="7" t="s">
        <v>1328</v>
      </c>
      <c r="E292" s="7" t="s">
        <v>1329</v>
      </c>
      <c r="F292" s="7"/>
      <c r="G292" s="7"/>
      <c r="H292" s="6" t="s">
        <v>135</v>
      </c>
      <c r="I292" s="9" t="s">
        <v>1534</v>
      </c>
      <c r="J292" s="10" t="s">
        <v>1331</v>
      </c>
      <c r="K292" s="10"/>
      <c r="L292" s="10" t="s">
        <v>1535</v>
      </c>
    </row>
    <row r="293" ht="125" customHeight="1" spans="1:12">
      <c r="A293" s="6" t="s">
        <v>1536</v>
      </c>
      <c r="B293" s="7" t="s">
        <v>1537</v>
      </c>
      <c r="C293" s="7"/>
      <c r="D293" s="7" t="s">
        <v>1335</v>
      </c>
      <c r="E293" s="7" t="s">
        <v>1538</v>
      </c>
      <c r="F293" s="7"/>
      <c r="G293" s="7"/>
      <c r="H293" s="6" t="s">
        <v>80</v>
      </c>
      <c r="I293" s="9" t="s">
        <v>1539</v>
      </c>
      <c r="J293" s="10" t="s">
        <v>1338</v>
      </c>
      <c r="K293" s="10"/>
      <c r="L293" s="10" t="s">
        <v>1540</v>
      </c>
    </row>
    <row r="294" ht="154" customHeight="1" spans="1:12">
      <c r="A294" s="6" t="s">
        <v>1541</v>
      </c>
      <c r="B294" s="7" t="s">
        <v>1542</v>
      </c>
      <c r="C294" s="7"/>
      <c r="D294" s="7" t="s">
        <v>1288</v>
      </c>
      <c r="E294" s="7" t="s">
        <v>1543</v>
      </c>
      <c r="F294" s="7"/>
      <c r="G294" s="7"/>
      <c r="H294" s="6" t="s">
        <v>135</v>
      </c>
      <c r="I294" s="9" t="s">
        <v>1544</v>
      </c>
      <c r="J294" s="10" t="s">
        <v>1369</v>
      </c>
      <c r="K294" s="10"/>
      <c r="L294" s="10" t="s">
        <v>1545</v>
      </c>
    </row>
    <row r="295" ht="66" customHeight="1" spans="1:12">
      <c r="A295" s="6" t="s">
        <v>53</v>
      </c>
      <c r="B295" s="7" t="s">
        <v>53</v>
      </c>
      <c r="C295" s="7"/>
      <c r="D295" s="7" t="s">
        <v>1546</v>
      </c>
      <c r="E295" s="7" t="s">
        <v>53</v>
      </c>
      <c r="F295" s="7"/>
      <c r="G295" s="7"/>
      <c r="H295" s="6" t="s">
        <v>53</v>
      </c>
      <c r="I295" s="15" t="s">
        <v>53</v>
      </c>
      <c r="J295" s="10" t="s">
        <v>53</v>
      </c>
      <c r="K295" s="10"/>
      <c r="L295" s="10" t="s">
        <v>1547</v>
      </c>
    </row>
    <row r="296" ht="273" customHeight="1" spans="1:12">
      <c r="A296" s="6" t="s">
        <v>1548</v>
      </c>
      <c r="B296" s="7" t="s">
        <v>1549</v>
      </c>
      <c r="C296" s="7"/>
      <c r="D296" s="7" t="s">
        <v>1288</v>
      </c>
      <c r="E296" s="7" t="s">
        <v>1550</v>
      </c>
      <c r="F296" s="7"/>
      <c r="G296" s="7"/>
      <c r="H296" s="6" t="s">
        <v>135</v>
      </c>
      <c r="I296" s="9" t="s">
        <v>1551</v>
      </c>
      <c r="J296" s="10" t="s">
        <v>1291</v>
      </c>
      <c r="K296" s="10"/>
      <c r="L296" s="10" t="s">
        <v>1552</v>
      </c>
    </row>
    <row r="297" ht="273" customHeight="1" spans="1:12">
      <c r="A297" s="6" t="s">
        <v>1553</v>
      </c>
      <c r="B297" s="7" t="s">
        <v>1554</v>
      </c>
      <c r="C297" s="7"/>
      <c r="D297" s="7" t="s">
        <v>1295</v>
      </c>
      <c r="E297" s="7" t="s">
        <v>1296</v>
      </c>
      <c r="F297" s="7"/>
      <c r="G297" s="7"/>
      <c r="H297" s="6" t="s">
        <v>135</v>
      </c>
      <c r="I297" s="9" t="s">
        <v>1555</v>
      </c>
      <c r="J297" s="10" t="s">
        <v>1298</v>
      </c>
      <c r="K297" s="10"/>
      <c r="L297" s="10" t="s">
        <v>1556</v>
      </c>
    </row>
    <row r="298" ht="273" customHeight="1" spans="1:12">
      <c r="A298" s="6" t="s">
        <v>1557</v>
      </c>
      <c r="B298" s="7" t="s">
        <v>1558</v>
      </c>
      <c r="C298" s="7"/>
      <c r="D298" s="7" t="s">
        <v>1302</v>
      </c>
      <c r="E298" s="7" t="s">
        <v>1296</v>
      </c>
      <c r="F298" s="7"/>
      <c r="G298" s="7"/>
      <c r="H298" s="6" t="s">
        <v>135</v>
      </c>
      <c r="I298" s="9" t="s">
        <v>1555</v>
      </c>
      <c r="J298" s="10" t="s">
        <v>1303</v>
      </c>
      <c r="K298" s="10"/>
      <c r="L298" s="10" t="s">
        <v>1559</v>
      </c>
    </row>
    <row r="299" ht="36" customHeight="1" spans="1:12">
      <c r="A299" s="6" t="s">
        <v>53</v>
      </c>
      <c r="B299" s="7" t="s">
        <v>53</v>
      </c>
      <c r="C299" s="7"/>
      <c r="D299" s="7" t="s">
        <v>1560</v>
      </c>
      <c r="E299" s="7" t="s">
        <v>53</v>
      </c>
      <c r="F299" s="7"/>
      <c r="G299" s="7"/>
      <c r="H299" s="6" t="s">
        <v>53</v>
      </c>
      <c r="I299" s="15" t="s">
        <v>53</v>
      </c>
      <c r="J299" s="10" t="s">
        <v>53</v>
      </c>
      <c r="K299" s="10"/>
      <c r="L299" s="10" t="s">
        <v>1561</v>
      </c>
    </row>
    <row r="300" ht="183" customHeight="1" spans="1:12">
      <c r="A300" s="6" t="s">
        <v>1562</v>
      </c>
      <c r="B300" s="7" t="s">
        <v>1563</v>
      </c>
      <c r="C300" s="7"/>
      <c r="D300" s="7" t="s">
        <v>1309</v>
      </c>
      <c r="E300" s="7" t="s">
        <v>1564</v>
      </c>
      <c r="F300" s="7"/>
      <c r="G300" s="7"/>
      <c r="H300" s="6" t="s">
        <v>135</v>
      </c>
      <c r="I300" s="9" t="s">
        <v>1565</v>
      </c>
      <c r="J300" s="10" t="s">
        <v>1312</v>
      </c>
      <c r="K300" s="10"/>
      <c r="L300" s="10" t="s">
        <v>1566</v>
      </c>
    </row>
    <row r="301" ht="273" customHeight="1" spans="1:12">
      <c r="A301" s="6" t="s">
        <v>1567</v>
      </c>
      <c r="B301" s="7" t="s">
        <v>1568</v>
      </c>
      <c r="C301" s="7"/>
      <c r="D301" s="7" t="s">
        <v>1316</v>
      </c>
      <c r="E301" s="7" t="s">
        <v>1317</v>
      </c>
      <c r="F301" s="7"/>
      <c r="G301" s="7"/>
      <c r="H301" s="6" t="s">
        <v>135</v>
      </c>
      <c r="I301" s="9" t="s">
        <v>1569</v>
      </c>
      <c r="J301" s="10" t="s">
        <v>1318</v>
      </c>
      <c r="K301" s="10"/>
      <c r="L301" s="10" t="s">
        <v>1570</v>
      </c>
    </row>
    <row r="302" ht="125" customHeight="1" spans="1:12">
      <c r="A302" s="6" t="s">
        <v>1571</v>
      </c>
      <c r="B302" s="7" t="s">
        <v>1572</v>
      </c>
      <c r="C302" s="7"/>
      <c r="D302" s="7" t="s">
        <v>1322</v>
      </c>
      <c r="E302" s="7" t="s">
        <v>1323</v>
      </c>
      <c r="F302" s="7"/>
      <c r="G302" s="7"/>
      <c r="H302" s="6" t="s">
        <v>135</v>
      </c>
      <c r="I302" s="9" t="s">
        <v>1565</v>
      </c>
      <c r="J302" s="10" t="s">
        <v>1324</v>
      </c>
      <c r="K302" s="10"/>
      <c r="L302" s="10" t="s">
        <v>1573</v>
      </c>
    </row>
    <row r="303" ht="110" customHeight="1" spans="1:12">
      <c r="A303" s="6" t="s">
        <v>1574</v>
      </c>
      <c r="B303" s="7" t="s">
        <v>1575</v>
      </c>
      <c r="C303" s="7"/>
      <c r="D303" s="7" t="s">
        <v>1328</v>
      </c>
      <c r="E303" s="7" t="s">
        <v>1329</v>
      </c>
      <c r="F303" s="7"/>
      <c r="G303" s="7"/>
      <c r="H303" s="6" t="s">
        <v>135</v>
      </c>
      <c r="I303" s="9" t="s">
        <v>1576</v>
      </c>
      <c r="J303" s="10" t="s">
        <v>1331</v>
      </c>
      <c r="K303" s="10"/>
      <c r="L303" s="10" t="s">
        <v>1577</v>
      </c>
    </row>
    <row r="304" ht="154" customHeight="1" spans="1:12">
      <c r="A304" s="6" t="s">
        <v>1578</v>
      </c>
      <c r="B304" s="7" t="s">
        <v>1579</v>
      </c>
      <c r="C304" s="7"/>
      <c r="D304" s="7" t="s">
        <v>1335</v>
      </c>
      <c r="E304" s="7" t="s">
        <v>1336</v>
      </c>
      <c r="F304" s="7"/>
      <c r="G304" s="7"/>
      <c r="H304" s="6" t="s">
        <v>80</v>
      </c>
      <c r="I304" s="9" t="s">
        <v>1580</v>
      </c>
      <c r="J304" s="10" t="s">
        <v>1338</v>
      </c>
      <c r="K304" s="10"/>
      <c r="L304" s="10" t="s">
        <v>1581</v>
      </c>
    </row>
    <row r="305" ht="154" customHeight="1" spans="1:12">
      <c r="A305" s="6" t="s">
        <v>1582</v>
      </c>
      <c r="B305" s="7" t="s">
        <v>1583</v>
      </c>
      <c r="C305" s="7"/>
      <c r="D305" s="7" t="s">
        <v>1309</v>
      </c>
      <c r="E305" s="7" t="s">
        <v>1342</v>
      </c>
      <c r="F305" s="7"/>
      <c r="G305" s="7"/>
      <c r="H305" s="6" t="s">
        <v>135</v>
      </c>
      <c r="I305" s="9" t="s">
        <v>1565</v>
      </c>
      <c r="J305" s="10" t="s">
        <v>1343</v>
      </c>
      <c r="K305" s="10"/>
      <c r="L305" s="10" t="s">
        <v>1584</v>
      </c>
    </row>
    <row r="306" ht="288" customHeight="1" spans="1:12">
      <c r="A306" s="6" t="s">
        <v>1585</v>
      </c>
      <c r="B306" s="7" t="s">
        <v>1586</v>
      </c>
      <c r="C306" s="7"/>
      <c r="D306" s="7" t="s">
        <v>1316</v>
      </c>
      <c r="E306" s="7" t="s">
        <v>1347</v>
      </c>
      <c r="F306" s="7"/>
      <c r="G306" s="7"/>
      <c r="H306" s="6" t="s">
        <v>135</v>
      </c>
      <c r="I306" s="9" t="s">
        <v>1565</v>
      </c>
      <c r="J306" s="10" t="s">
        <v>1253</v>
      </c>
      <c r="K306" s="10"/>
      <c r="L306" s="10" t="s">
        <v>1587</v>
      </c>
    </row>
    <row r="307" ht="154" customHeight="1" spans="1:12">
      <c r="A307" s="6" t="s">
        <v>1588</v>
      </c>
      <c r="B307" s="7" t="s">
        <v>1589</v>
      </c>
      <c r="C307" s="7"/>
      <c r="D307" s="7" t="s">
        <v>1288</v>
      </c>
      <c r="E307" s="7" t="s">
        <v>1351</v>
      </c>
      <c r="F307" s="7"/>
      <c r="G307" s="7"/>
      <c r="H307" s="6" t="s">
        <v>135</v>
      </c>
      <c r="I307" s="9" t="s">
        <v>1565</v>
      </c>
      <c r="J307" s="10" t="s">
        <v>1352</v>
      </c>
      <c r="K307" s="10"/>
      <c r="L307" s="10" t="s">
        <v>1590</v>
      </c>
    </row>
    <row r="308" ht="36" customHeight="1" spans="1:12">
      <c r="A308" s="6" t="s">
        <v>53</v>
      </c>
      <c r="B308" s="7" t="s">
        <v>53</v>
      </c>
      <c r="C308" s="7"/>
      <c r="D308" s="7" t="s">
        <v>1591</v>
      </c>
      <c r="E308" s="7" t="s">
        <v>53</v>
      </c>
      <c r="F308" s="7"/>
      <c r="G308" s="7"/>
      <c r="H308" s="6" t="s">
        <v>53</v>
      </c>
      <c r="I308" s="15" t="s">
        <v>53</v>
      </c>
      <c r="J308" s="10" t="s">
        <v>53</v>
      </c>
      <c r="K308" s="10"/>
      <c r="L308" s="10" t="s">
        <v>1592</v>
      </c>
    </row>
    <row r="309" ht="183" customHeight="1" spans="1:12">
      <c r="A309" s="6" t="s">
        <v>1593</v>
      </c>
      <c r="B309" s="7" t="s">
        <v>1594</v>
      </c>
      <c r="C309" s="7"/>
      <c r="D309" s="7" t="s">
        <v>1309</v>
      </c>
      <c r="E309" s="7" t="s">
        <v>1375</v>
      </c>
      <c r="F309" s="7"/>
      <c r="G309" s="7"/>
      <c r="H309" s="6" t="s">
        <v>135</v>
      </c>
      <c r="I309" s="9" t="s">
        <v>1595</v>
      </c>
      <c r="J309" s="10" t="s">
        <v>1596</v>
      </c>
      <c r="K309" s="10"/>
      <c r="L309" s="10" t="s">
        <v>1597</v>
      </c>
    </row>
    <row r="310" ht="228" customHeight="1" spans="1:12">
      <c r="A310" s="6" t="s">
        <v>1598</v>
      </c>
      <c r="B310" s="7" t="s">
        <v>1599</v>
      </c>
      <c r="C310" s="7"/>
      <c r="D310" s="7" t="s">
        <v>1316</v>
      </c>
      <c r="E310" s="7" t="s">
        <v>1600</v>
      </c>
      <c r="F310" s="7"/>
      <c r="G310" s="7"/>
      <c r="H310" s="6" t="s">
        <v>135</v>
      </c>
      <c r="I310" s="9" t="s">
        <v>1601</v>
      </c>
      <c r="J310" s="10" t="s">
        <v>1253</v>
      </c>
      <c r="K310" s="10"/>
      <c r="L310" s="10" t="s">
        <v>1602</v>
      </c>
    </row>
    <row r="311" ht="273" customHeight="1" spans="1:12">
      <c r="A311" s="6" t="s">
        <v>1603</v>
      </c>
      <c r="B311" s="7" t="s">
        <v>1604</v>
      </c>
      <c r="C311" s="7"/>
      <c r="D311" s="7" t="s">
        <v>1316</v>
      </c>
      <c r="E311" s="7" t="s">
        <v>1362</v>
      </c>
      <c r="F311" s="7"/>
      <c r="G311" s="7"/>
      <c r="H311" s="6" t="s">
        <v>135</v>
      </c>
      <c r="I311" s="9" t="s">
        <v>1601</v>
      </c>
      <c r="J311" s="10" t="s">
        <v>1253</v>
      </c>
      <c r="K311" s="10"/>
      <c r="L311" s="10" t="s">
        <v>1602</v>
      </c>
    </row>
    <row r="312" ht="154" customHeight="1" spans="1:12">
      <c r="A312" s="6" t="s">
        <v>1605</v>
      </c>
      <c r="B312" s="7" t="s">
        <v>1606</v>
      </c>
      <c r="C312" s="7"/>
      <c r="D312" s="7" t="s">
        <v>1288</v>
      </c>
      <c r="E312" s="7" t="s">
        <v>1368</v>
      </c>
      <c r="F312" s="7"/>
      <c r="G312" s="7"/>
      <c r="H312" s="6" t="s">
        <v>135</v>
      </c>
      <c r="I312" s="9" t="s">
        <v>1595</v>
      </c>
      <c r="J312" s="10" t="s">
        <v>1369</v>
      </c>
      <c r="K312" s="10"/>
      <c r="L312" s="10" t="s">
        <v>1607</v>
      </c>
    </row>
    <row r="313" ht="51" customHeight="1" spans="1:12">
      <c r="A313" s="6" t="s">
        <v>53</v>
      </c>
      <c r="B313" s="7" t="s">
        <v>53</v>
      </c>
      <c r="C313" s="7"/>
      <c r="D313" s="7" t="s">
        <v>1608</v>
      </c>
      <c r="E313" s="7" t="s">
        <v>53</v>
      </c>
      <c r="F313" s="7"/>
      <c r="G313" s="7"/>
      <c r="H313" s="6" t="s">
        <v>53</v>
      </c>
      <c r="I313" s="15" t="s">
        <v>53</v>
      </c>
      <c r="J313" s="10" t="s">
        <v>53</v>
      </c>
      <c r="K313" s="10"/>
      <c r="L313" s="10" t="s">
        <v>1609</v>
      </c>
    </row>
    <row r="314" ht="169" customHeight="1" spans="1:12">
      <c r="A314" s="6" t="s">
        <v>1610</v>
      </c>
      <c r="B314" s="7" t="s">
        <v>1611</v>
      </c>
      <c r="C314" s="7"/>
      <c r="D314" s="7" t="s">
        <v>1404</v>
      </c>
      <c r="E314" s="7" t="s">
        <v>1405</v>
      </c>
      <c r="F314" s="7"/>
      <c r="G314" s="7"/>
      <c r="H314" s="6" t="s">
        <v>135</v>
      </c>
      <c r="I314" s="9" t="s">
        <v>1612</v>
      </c>
      <c r="J314" s="10" t="s">
        <v>1406</v>
      </c>
      <c r="K314" s="10"/>
      <c r="L314" s="10" t="s">
        <v>1613</v>
      </c>
    </row>
    <row r="315" ht="288" customHeight="1" spans="1:12">
      <c r="A315" s="6" t="s">
        <v>1614</v>
      </c>
      <c r="B315" s="7" t="s">
        <v>1615</v>
      </c>
      <c r="C315" s="7"/>
      <c r="D315" s="7" t="s">
        <v>1410</v>
      </c>
      <c r="E315" s="7" t="s">
        <v>1411</v>
      </c>
      <c r="F315" s="7"/>
      <c r="G315" s="7"/>
      <c r="H315" s="6" t="s">
        <v>135</v>
      </c>
      <c r="I315" s="9" t="s">
        <v>1612</v>
      </c>
      <c r="J315" s="10" t="s">
        <v>1412</v>
      </c>
      <c r="K315" s="10"/>
      <c r="L315" s="10" t="s">
        <v>1616</v>
      </c>
    </row>
    <row r="316" ht="80" customHeight="1" spans="1:12">
      <c r="A316" s="6" t="s">
        <v>53</v>
      </c>
      <c r="B316" s="7" t="s">
        <v>53</v>
      </c>
      <c r="C316" s="7"/>
      <c r="D316" s="7" t="s">
        <v>1617</v>
      </c>
      <c r="E316" s="7" t="s">
        <v>53</v>
      </c>
      <c r="F316" s="7"/>
      <c r="G316" s="7"/>
      <c r="H316" s="6" t="s">
        <v>53</v>
      </c>
      <c r="I316" s="15" t="s">
        <v>53</v>
      </c>
      <c r="J316" s="10" t="s">
        <v>53</v>
      </c>
      <c r="K316" s="10"/>
      <c r="L316" s="10" t="s">
        <v>1618</v>
      </c>
    </row>
    <row r="317" ht="169" customHeight="1" spans="1:12">
      <c r="A317" s="6" t="s">
        <v>1619</v>
      </c>
      <c r="B317" s="7" t="s">
        <v>1620</v>
      </c>
      <c r="C317" s="7"/>
      <c r="D317" s="7" t="s">
        <v>1443</v>
      </c>
      <c r="E317" s="7" t="s">
        <v>1444</v>
      </c>
      <c r="F317" s="7"/>
      <c r="G317" s="7"/>
      <c r="H317" s="6" t="s">
        <v>135</v>
      </c>
      <c r="I317" s="9" t="s">
        <v>1621</v>
      </c>
      <c r="J317" s="10" t="s">
        <v>1445</v>
      </c>
      <c r="K317" s="10"/>
      <c r="L317" s="10" t="s">
        <v>1618</v>
      </c>
    </row>
    <row r="318" ht="36" customHeight="1" spans="1:12">
      <c r="A318" s="6" t="s">
        <v>53</v>
      </c>
      <c r="B318" s="7" t="s">
        <v>53</v>
      </c>
      <c r="C318" s="7"/>
      <c r="D318" s="7" t="s">
        <v>1622</v>
      </c>
      <c r="E318" s="7" t="s">
        <v>53</v>
      </c>
      <c r="F318" s="7"/>
      <c r="G318" s="7"/>
      <c r="H318" s="6" t="s">
        <v>53</v>
      </c>
      <c r="I318" s="15" t="s">
        <v>53</v>
      </c>
      <c r="J318" s="10" t="s">
        <v>53</v>
      </c>
      <c r="K318" s="10"/>
      <c r="L318" s="10" t="s">
        <v>1623</v>
      </c>
    </row>
    <row r="319" ht="125" customHeight="1" spans="1:12">
      <c r="A319" s="6" t="s">
        <v>1624</v>
      </c>
      <c r="B319" s="7" t="s">
        <v>1625</v>
      </c>
      <c r="C319" s="7"/>
      <c r="D319" s="7" t="s">
        <v>1626</v>
      </c>
      <c r="E319" s="7" t="s">
        <v>1627</v>
      </c>
      <c r="F319" s="7"/>
      <c r="G319" s="7"/>
      <c r="H319" s="6" t="s">
        <v>135</v>
      </c>
      <c r="I319" s="9" t="s">
        <v>1628</v>
      </c>
      <c r="J319" s="10" t="s">
        <v>1629</v>
      </c>
      <c r="K319" s="10"/>
      <c r="L319" s="10" t="s">
        <v>1630</v>
      </c>
    </row>
    <row r="320" ht="183" customHeight="1" spans="1:12">
      <c r="A320" s="6" t="s">
        <v>1631</v>
      </c>
      <c r="B320" s="7" t="s">
        <v>1632</v>
      </c>
      <c r="C320" s="7"/>
      <c r="D320" s="7" t="s">
        <v>1633</v>
      </c>
      <c r="E320" s="7" t="s">
        <v>1634</v>
      </c>
      <c r="F320" s="7"/>
      <c r="G320" s="7"/>
      <c r="H320" s="6" t="s">
        <v>135</v>
      </c>
      <c r="I320" s="9" t="s">
        <v>1628</v>
      </c>
      <c r="J320" s="10" t="s">
        <v>1635</v>
      </c>
      <c r="K320" s="10"/>
      <c r="L320" s="10" t="s">
        <v>1636</v>
      </c>
    </row>
    <row r="321" ht="36" customHeight="1" spans="1:12">
      <c r="A321" s="6" t="s">
        <v>53</v>
      </c>
      <c r="B321" s="7" t="s">
        <v>53</v>
      </c>
      <c r="C321" s="7"/>
      <c r="D321" s="7" t="s">
        <v>1637</v>
      </c>
      <c r="E321" s="7" t="s">
        <v>53</v>
      </c>
      <c r="F321" s="7"/>
      <c r="G321" s="7"/>
      <c r="H321" s="6" t="s">
        <v>53</v>
      </c>
      <c r="I321" s="15" t="s">
        <v>53</v>
      </c>
      <c r="J321" s="10" t="s">
        <v>53</v>
      </c>
      <c r="K321" s="10"/>
      <c r="L321" s="10" t="s">
        <v>1638</v>
      </c>
    </row>
    <row r="322" ht="110" customHeight="1" spans="1:12">
      <c r="A322" s="6" t="s">
        <v>1639</v>
      </c>
      <c r="B322" s="7" t="s">
        <v>1640</v>
      </c>
      <c r="C322" s="7"/>
      <c r="D322" s="7" t="s">
        <v>1641</v>
      </c>
      <c r="E322" s="7" t="s">
        <v>1642</v>
      </c>
      <c r="F322" s="7"/>
      <c r="G322" s="7"/>
      <c r="H322" s="6" t="s">
        <v>135</v>
      </c>
      <c r="I322" s="9" t="s">
        <v>1507</v>
      </c>
      <c r="J322" s="10" t="s">
        <v>1643</v>
      </c>
      <c r="K322" s="10"/>
      <c r="L322" s="10" t="s">
        <v>1638</v>
      </c>
    </row>
    <row r="323" ht="36" customHeight="1" spans="1:12">
      <c r="A323" s="6" t="s">
        <v>53</v>
      </c>
      <c r="B323" s="7" t="s">
        <v>53</v>
      </c>
      <c r="C323" s="7"/>
      <c r="D323" s="7" t="s">
        <v>1644</v>
      </c>
      <c r="E323" s="7" t="s">
        <v>53</v>
      </c>
      <c r="F323" s="7"/>
      <c r="G323" s="7"/>
      <c r="H323" s="6" t="s">
        <v>53</v>
      </c>
      <c r="I323" s="15" t="s">
        <v>53</v>
      </c>
      <c r="J323" s="10" t="s">
        <v>53</v>
      </c>
      <c r="K323" s="10"/>
      <c r="L323" s="10" t="s">
        <v>1645</v>
      </c>
    </row>
    <row r="324" ht="198" customHeight="1" spans="1:12">
      <c r="A324" s="6" t="s">
        <v>1646</v>
      </c>
      <c r="B324" s="7" t="s">
        <v>1647</v>
      </c>
      <c r="C324" s="7"/>
      <c r="D324" s="7" t="s">
        <v>1488</v>
      </c>
      <c r="E324" s="7" t="s">
        <v>1511</v>
      </c>
      <c r="F324" s="7"/>
      <c r="G324" s="7"/>
      <c r="H324" s="6" t="s">
        <v>135</v>
      </c>
      <c r="I324" s="9" t="s">
        <v>198</v>
      </c>
      <c r="J324" s="10" t="s">
        <v>1648</v>
      </c>
      <c r="K324" s="10"/>
      <c r="L324" s="10" t="s">
        <v>1645</v>
      </c>
    </row>
    <row r="325" ht="36" customHeight="1" spans="1:12">
      <c r="A325" s="6" t="s">
        <v>53</v>
      </c>
      <c r="B325" s="7" t="s">
        <v>53</v>
      </c>
      <c r="C325" s="7"/>
      <c r="D325" s="7" t="s">
        <v>1649</v>
      </c>
      <c r="E325" s="7" t="s">
        <v>53</v>
      </c>
      <c r="F325" s="7"/>
      <c r="G325" s="7"/>
      <c r="H325" s="6" t="s">
        <v>53</v>
      </c>
      <c r="I325" s="15" t="s">
        <v>53</v>
      </c>
      <c r="J325" s="10" t="s">
        <v>53</v>
      </c>
      <c r="K325" s="10"/>
      <c r="L325" s="10" t="s">
        <v>1650</v>
      </c>
    </row>
    <row r="326" ht="169" customHeight="1" spans="1:12">
      <c r="A326" s="6" t="s">
        <v>1651</v>
      </c>
      <c r="B326" s="7" t="s">
        <v>1652</v>
      </c>
      <c r="C326" s="7"/>
      <c r="D326" s="7" t="s">
        <v>1653</v>
      </c>
      <c r="E326" s="7" t="s">
        <v>1654</v>
      </c>
      <c r="F326" s="7"/>
      <c r="G326" s="7"/>
      <c r="H326" s="6" t="s">
        <v>998</v>
      </c>
      <c r="I326" s="9" t="s">
        <v>1655</v>
      </c>
      <c r="J326" s="10" t="s">
        <v>1656</v>
      </c>
      <c r="K326" s="10"/>
      <c r="L326" s="10" t="s">
        <v>1650</v>
      </c>
    </row>
    <row r="327" ht="36" customHeight="1" spans="1:12">
      <c r="A327" s="6" t="s">
        <v>53</v>
      </c>
      <c r="B327" s="7" t="s">
        <v>53</v>
      </c>
      <c r="C327" s="7"/>
      <c r="D327" s="7" t="s">
        <v>1657</v>
      </c>
      <c r="E327" s="7" t="s">
        <v>53</v>
      </c>
      <c r="F327" s="7"/>
      <c r="G327" s="7"/>
      <c r="H327" s="6" t="s">
        <v>53</v>
      </c>
      <c r="I327" s="15" t="s">
        <v>53</v>
      </c>
      <c r="J327" s="10" t="s">
        <v>53</v>
      </c>
      <c r="K327" s="10"/>
      <c r="L327" s="10" t="s">
        <v>1658</v>
      </c>
    </row>
    <row r="328" ht="213" customHeight="1" spans="1:12">
      <c r="A328" s="6" t="s">
        <v>1659</v>
      </c>
      <c r="B328" s="7" t="s">
        <v>1660</v>
      </c>
      <c r="C328" s="7"/>
      <c r="D328" s="7" t="s">
        <v>1661</v>
      </c>
      <c r="E328" s="7" t="s">
        <v>1662</v>
      </c>
      <c r="F328" s="7"/>
      <c r="G328" s="7"/>
      <c r="H328" s="6" t="s">
        <v>135</v>
      </c>
      <c r="I328" s="9" t="s">
        <v>1663</v>
      </c>
      <c r="J328" s="10" t="s">
        <v>1664</v>
      </c>
      <c r="K328" s="10"/>
      <c r="L328" s="10" t="s">
        <v>1658</v>
      </c>
    </row>
    <row r="329" ht="36" customHeight="1" spans="1:12">
      <c r="A329" s="6" t="s">
        <v>53</v>
      </c>
      <c r="B329" s="7" t="s">
        <v>53</v>
      </c>
      <c r="C329" s="7"/>
      <c r="D329" s="7" t="s">
        <v>1665</v>
      </c>
      <c r="E329" s="7" t="s">
        <v>53</v>
      </c>
      <c r="F329" s="7"/>
      <c r="G329" s="7"/>
      <c r="H329" s="6" t="s">
        <v>53</v>
      </c>
      <c r="I329" s="15" t="s">
        <v>53</v>
      </c>
      <c r="J329" s="10" t="s">
        <v>53</v>
      </c>
      <c r="K329" s="10"/>
      <c r="L329" s="10" t="s">
        <v>1666</v>
      </c>
    </row>
    <row r="330" ht="169" customHeight="1" spans="1:12">
      <c r="A330" s="6" t="s">
        <v>1667</v>
      </c>
      <c r="B330" s="7" t="s">
        <v>1668</v>
      </c>
      <c r="C330" s="7"/>
      <c r="D330" s="7" t="s">
        <v>1669</v>
      </c>
      <c r="E330" s="7" t="s">
        <v>1670</v>
      </c>
      <c r="F330" s="7"/>
      <c r="G330" s="7"/>
      <c r="H330" s="6" t="s">
        <v>998</v>
      </c>
      <c r="I330" s="9" t="s">
        <v>1671</v>
      </c>
      <c r="J330" s="10" t="s">
        <v>1672</v>
      </c>
      <c r="K330" s="10"/>
      <c r="L330" s="10" t="s">
        <v>1666</v>
      </c>
    </row>
    <row r="331" ht="23" customHeight="1" spans="1:12">
      <c r="A331" s="6" t="s">
        <v>53</v>
      </c>
      <c r="B331" s="7" t="s">
        <v>53</v>
      </c>
      <c r="C331" s="7"/>
      <c r="D331" s="7" t="s">
        <v>31</v>
      </c>
      <c r="E331" s="7" t="s">
        <v>53</v>
      </c>
      <c r="F331" s="7"/>
      <c r="G331" s="7"/>
      <c r="H331" s="6" t="s">
        <v>53</v>
      </c>
      <c r="I331" s="15" t="s">
        <v>53</v>
      </c>
      <c r="J331" s="10" t="s">
        <v>53</v>
      </c>
      <c r="K331" s="10"/>
      <c r="L331" s="10" t="s">
        <v>32</v>
      </c>
    </row>
    <row r="332" ht="23" customHeight="1" spans="1:12">
      <c r="A332" s="6" t="s">
        <v>53</v>
      </c>
      <c r="B332" s="7" t="s">
        <v>53</v>
      </c>
      <c r="C332" s="7"/>
      <c r="D332" s="7" t="s">
        <v>1673</v>
      </c>
      <c r="E332" s="7" t="s">
        <v>53</v>
      </c>
      <c r="F332" s="7"/>
      <c r="G332" s="7"/>
      <c r="H332" s="6" t="s">
        <v>53</v>
      </c>
      <c r="I332" s="15" t="s">
        <v>53</v>
      </c>
      <c r="J332" s="10" t="s">
        <v>53</v>
      </c>
      <c r="K332" s="10"/>
      <c r="L332" s="10" t="s">
        <v>1674</v>
      </c>
    </row>
    <row r="333" ht="23" customHeight="1" spans="1:12">
      <c r="A333" s="6" t="s">
        <v>53</v>
      </c>
      <c r="B333" s="7" t="s">
        <v>53</v>
      </c>
      <c r="C333" s="7"/>
      <c r="D333" s="7" t="s">
        <v>1675</v>
      </c>
      <c r="E333" s="7" t="s">
        <v>53</v>
      </c>
      <c r="F333" s="7"/>
      <c r="G333" s="7"/>
      <c r="H333" s="6" t="s">
        <v>53</v>
      </c>
      <c r="I333" s="15" t="s">
        <v>53</v>
      </c>
      <c r="J333" s="10" t="s">
        <v>53</v>
      </c>
      <c r="K333" s="10"/>
      <c r="L333" s="10" t="s">
        <v>1676</v>
      </c>
    </row>
    <row r="334" ht="183" customHeight="1" spans="1:12">
      <c r="A334" s="6" t="s">
        <v>1677</v>
      </c>
      <c r="B334" s="7" t="s">
        <v>1678</v>
      </c>
      <c r="C334" s="7"/>
      <c r="D334" s="7" t="s">
        <v>1679</v>
      </c>
      <c r="E334" s="7" t="s">
        <v>1680</v>
      </c>
      <c r="F334" s="7"/>
      <c r="G334" s="7"/>
      <c r="H334" s="6" t="s">
        <v>135</v>
      </c>
      <c r="I334" s="9" t="s">
        <v>1681</v>
      </c>
      <c r="J334" s="10" t="s">
        <v>1682</v>
      </c>
      <c r="K334" s="10"/>
      <c r="L334" s="10" t="s">
        <v>1683</v>
      </c>
    </row>
    <row r="335" ht="183" customHeight="1" spans="1:12">
      <c r="A335" s="6" t="s">
        <v>1684</v>
      </c>
      <c r="B335" s="7" t="s">
        <v>1685</v>
      </c>
      <c r="C335" s="7"/>
      <c r="D335" s="7" t="s">
        <v>1686</v>
      </c>
      <c r="E335" s="7" t="s">
        <v>1687</v>
      </c>
      <c r="F335" s="7"/>
      <c r="G335" s="7"/>
      <c r="H335" s="6" t="s">
        <v>135</v>
      </c>
      <c r="I335" s="9" t="s">
        <v>1681</v>
      </c>
      <c r="J335" s="10" t="s">
        <v>1688</v>
      </c>
      <c r="K335" s="10"/>
      <c r="L335" s="10" t="s">
        <v>1689</v>
      </c>
    </row>
    <row r="336" ht="183" customHeight="1" spans="1:12">
      <c r="A336" s="6" t="s">
        <v>1690</v>
      </c>
      <c r="B336" s="7" t="s">
        <v>1691</v>
      </c>
      <c r="C336" s="7"/>
      <c r="D336" s="7" t="s">
        <v>1692</v>
      </c>
      <c r="E336" s="7" t="s">
        <v>1680</v>
      </c>
      <c r="F336" s="7"/>
      <c r="G336" s="7"/>
      <c r="H336" s="6" t="s">
        <v>135</v>
      </c>
      <c r="I336" s="9" t="s">
        <v>1693</v>
      </c>
      <c r="J336" s="10" t="s">
        <v>1694</v>
      </c>
      <c r="K336" s="10"/>
      <c r="L336" s="10" t="s">
        <v>1695</v>
      </c>
    </row>
    <row r="337" ht="183" customHeight="1" spans="1:12">
      <c r="A337" s="6" t="s">
        <v>1696</v>
      </c>
      <c r="B337" s="7" t="s">
        <v>1697</v>
      </c>
      <c r="C337" s="7"/>
      <c r="D337" s="7" t="s">
        <v>1698</v>
      </c>
      <c r="E337" s="7" t="s">
        <v>1687</v>
      </c>
      <c r="F337" s="7"/>
      <c r="G337" s="7"/>
      <c r="H337" s="6" t="s">
        <v>135</v>
      </c>
      <c r="I337" s="9" t="s">
        <v>1693</v>
      </c>
      <c r="J337" s="10" t="s">
        <v>1699</v>
      </c>
      <c r="K337" s="10"/>
      <c r="L337" s="10" t="s">
        <v>1700</v>
      </c>
    </row>
    <row r="338" ht="51" customHeight="1" spans="1:12">
      <c r="A338" s="6" t="s">
        <v>53</v>
      </c>
      <c r="B338" s="7" t="s">
        <v>53</v>
      </c>
      <c r="C338" s="7"/>
      <c r="D338" s="7" t="s">
        <v>1701</v>
      </c>
      <c r="E338" s="7" t="s">
        <v>53</v>
      </c>
      <c r="F338" s="7"/>
      <c r="G338" s="7"/>
      <c r="H338" s="6" t="s">
        <v>53</v>
      </c>
      <c r="I338" s="15" t="s">
        <v>53</v>
      </c>
      <c r="J338" s="10" t="s">
        <v>53</v>
      </c>
      <c r="K338" s="10"/>
      <c r="L338" s="10" t="s">
        <v>1702</v>
      </c>
    </row>
    <row r="339" ht="154" customHeight="1" spans="1:12">
      <c r="A339" s="6" t="s">
        <v>1703</v>
      </c>
      <c r="B339" s="7" t="s">
        <v>1704</v>
      </c>
      <c r="C339" s="7"/>
      <c r="D339" s="7" t="s">
        <v>1679</v>
      </c>
      <c r="E339" s="7" t="s">
        <v>1705</v>
      </c>
      <c r="F339" s="7"/>
      <c r="G339" s="7"/>
      <c r="H339" s="6" t="s">
        <v>135</v>
      </c>
      <c r="I339" s="9" t="s">
        <v>1706</v>
      </c>
      <c r="J339" s="10" t="s">
        <v>1707</v>
      </c>
      <c r="K339" s="10"/>
      <c r="L339" s="10" t="s">
        <v>1708</v>
      </c>
    </row>
    <row r="340" ht="125" customHeight="1" spans="1:12">
      <c r="A340" s="6" t="s">
        <v>1709</v>
      </c>
      <c r="B340" s="7" t="s">
        <v>1710</v>
      </c>
      <c r="C340" s="7"/>
      <c r="D340" s="7" t="s">
        <v>1679</v>
      </c>
      <c r="E340" s="7" t="s">
        <v>1711</v>
      </c>
      <c r="F340" s="7"/>
      <c r="G340" s="7"/>
      <c r="H340" s="6" t="s">
        <v>135</v>
      </c>
      <c r="I340" s="9" t="s">
        <v>1706</v>
      </c>
      <c r="J340" s="10" t="s">
        <v>1712</v>
      </c>
      <c r="K340" s="10"/>
      <c r="L340" s="10" t="s">
        <v>1713</v>
      </c>
    </row>
    <row r="341" ht="183" customHeight="1" spans="1:12">
      <c r="A341" s="6" t="s">
        <v>1714</v>
      </c>
      <c r="B341" s="7" t="s">
        <v>1715</v>
      </c>
      <c r="C341" s="7"/>
      <c r="D341" s="7" t="s">
        <v>1686</v>
      </c>
      <c r="E341" s="7" t="s">
        <v>1687</v>
      </c>
      <c r="F341" s="7"/>
      <c r="G341" s="7"/>
      <c r="H341" s="6" t="s">
        <v>135</v>
      </c>
      <c r="I341" s="9" t="s">
        <v>1706</v>
      </c>
      <c r="J341" s="10" t="s">
        <v>1688</v>
      </c>
      <c r="K341" s="10"/>
      <c r="L341" s="10" t="s">
        <v>1716</v>
      </c>
    </row>
    <row r="342" ht="36" customHeight="1" spans="1:12">
      <c r="A342" s="6" t="s">
        <v>53</v>
      </c>
      <c r="B342" s="7" t="s">
        <v>53</v>
      </c>
      <c r="C342" s="7"/>
      <c r="D342" s="7" t="s">
        <v>1717</v>
      </c>
      <c r="E342" s="7" t="s">
        <v>53</v>
      </c>
      <c r="F342" s="7"/>
      <c r="G342" s="7"/>
      <c r="H342" s="6" t="s">
        <v>53</v>
      </c>
      <c r="I342" s="15" t="s">
        <v>53</v>
      </c>
      <c r="J342" s="10" t="s">
        <v>53</v>
      </c>
      <c r="K342" s="10"/>
      <c r="L342" s="10" t="s">
        <v>1718</v>
      </c>
    </row>
    <row r="343" ht="154" customHeight="1" spans="1:12">
      <c r="A343" s="6" t="s">
        <v>1719</v>
      </c>
      <c r="B343" s="7" t="s">
        <v>1720</v>
      </c>
      <c r="C343" s="7"/>
      <c r="D343" s="7" t="s">
        <v>1679</v>
      </c>
      <c r="E343" s="7" t="s">
        <v>1705</v>
      </c>
      <c r="F343" s="7"/>
      <c r="G343" s="7"/>
      <c r="H343" s="6" t="s">
        <v>135</v>
      </c>
      <c r="I343" s="9" t="s">
        <v>1721</v>
      </c>
      <c r="J343" s="10" t="s">
        <v>1707</v>
      </c>
      <c r="K343" s="10"/>
      <c r="L343" s="10" t="s">
        <v>1722</v>
      </c>
    </row>
    <row r="344" ht="125" customHeight="1" spans="1:12">
      <c r="A344" s="6" t="s">
        <v>1723</v>
      </c>
      <c r="B344" s="7" t="s">
        <v>1724</v>
      </c>
      <c r="C344" s="7"/>
      <c r="D344" s="7" t="s">
        <v>1679</v>
      </c>
      <c r="E344" s="7" t="s">
        <v>1711</v>
      </c>
      <c r="F344" s="7"/>
      <c r="G344" s="7"/>
      <c r="H344" s="6" t="s">
        <v>135</v>
      </c>
      <c r="I344" s="9" t="s">
        <v>1725</v>
      </c>
      <c r="J344" s="10" t="s">
        <v>1712</v>
      </c>
      <c r="K344" s="10"/>
      <c r="L344" s="10" t="s">
        <v>1726</v>
      </c>
    </row>
    <row r="345" ht="154" customHeight="1" spans="1:12">
      <c r="A345" s="6" t="s">
        <v>1727</v>
      </c>
      <c r="B345" s="7" t="s">
        <v>1728</v>
      </c>
      <c r="C345" s="7"/>
      <c r="D345" s="7" t="s">
        <v>1729</v>
      </c>
      <c r="E345" s="7" t="s">
        <v>1730</v>
      </c>
      <c r="F345" s="7"/>
      <c r="G345" s="7"/>
      <c r="H345" s="6" t="s">
        <v>135</v>
      </c>
      <c r="I345" s="9" t="s">
        <v>1721</v>
      </c>
      <c r="J345" s="10" t="s">
        <v>1731</v>
      </c>
      <c r="K345" s="10"/>
      <c r="L345" s="10" t="s">
        <v>1732</v>
      </c>
    </row>
    <row r="346" ht="51" customHeight="1" spans="1:12">
      <c r="A346" s="6" t="s">
        <v>53</v>
      </c>
      <c r="B346" s="7" t="s">
        <v>53</v>
      </c>
      <c r="C346" s="7"/>
      <c r="D346" s="7" t="s">
        <v>1733</v>
      </c>
      <c r="E346" s="7" t="s">
        <v>53</v>
      </c>
      <c r="F346" s="7"/>
      <c r="G346" s="7"/>
      <c r="H346" s="6" t="s">
        <v>53</v>
      </c>
      <c r="I346" s="15" t="s">
        <v>53</v>
      </c>
      <c r="J346" s="10" t="s">
        <v>53</v>
      </c>
      <c r="K346" s="10"/>
      <c r="L346" s="10" t="s">
        <v>1734</v>
      </c>
    </row>
    <row r="347" ht="125" customHeight="1" spans="1:12">
      <c r="A347" s="6" t="s">
        <v>1735</v>
      </c>
      <c r="B347" s="7" t="s">
        <v>1736</v>
      </c>
      <c r="C347" s="7"/>
      <c r="D347" s="7" t="s">
        <v>1737</v>
      </c>
      <c r="E347" s="7" t="s">
        <v>1738</v>
      </c>
      <c r="F347" s="7"/>
      <c r="G347" s="7"/>
      <c r="H347" s="6" t="s">
        <v>135</v>
      </c>
      <c r="I347" s="9" t="s">
        <v>1739</v>
      </c>
      <c r="J347" s="10" t="s">
        <v>1740</v>
      </c>
      <c r="K347" s="10"/>
      <c r="L347" s="10" t="s">
        <v>1741</v>
      </c>
    </row>
    <row r="348" ht="125" customHeight="1" spans="1:12">
      <c r="A348" s="6" t="s">
        <v>1742</v>
      </c>
      <c r="B348" s="7" t="s">
        <v>1743</v>
      </c>
      <c r="C348" s="7"/>
      <c r="D348" s="7" t="s">
        <v>1679</v>
      </c>
      <c r="E348" s="7" t="s">
        <v>1711</v>
      </c>
      <c r="F348" s="7"/>
      <c r="G348" s="7"/>
      <c r="H348" s="6" t="s">
        <v>135</v>
      </c>
      <c r="I348" s="9" t="s">
        <v>1739</v>
      </c>
      <c r="J348" s="10" t="s">
        <v>1712</v>
      </c>
      <c r="K348" s="10"/>
      <c r="L348" s="10" t="s">
        <v>1744</v>
      </c>
    </row>
    <row r="349" ht="154" customHeight="1" spans="1:12">
      <c r="A349" s="6" t="s">
        <v>1745</v>
      </c>
      <c r="B349" s="7" t="s">
        <v>1746</v>
      </c>
      <c r="C349" s="7"/>
      <c r="D349" s="7" t="s">
        <v>1729</v>
      </c>
      <c r="E349" s="7" t="s">
        <v>1730</v>
      </c>
      <c r="F349" s="7"/>
      <c r="G349" s="7"/>
      <c r="H349" s="6" t="s">
        <v>135</v>
      </c>
      <c r="I349" s="9" t="s">
        <v>1747</v>
      </c>
      <c r="J349" s="10" t="s">
        <v>1731</v>
      </c>
      <c r="K349" s="10"/>
      <c r="L349" s="10" t="s">
        <v>1748</v>
      </c>
    </row>
    <row r="350" ht="51" customHeight="1" spans="1:12">
      <c r="A350" s="6" t="s">
        <v>53</v>
      </c>
      <c r="B350" s="7" t="s">
        <v>53</v>
      </c>
      <c r="C350" s="7"/>
      <c r="D350" s="7" t="s">
        <v>1749</v>
      </c>
      <c r="E350" s="7" t="s">
        <v>53</v>
      </c>
      <c r="F350" s="7"/>
      <c r="G350" s="7"/>
      <c r="H350" s="6" t="s">
        <v>53</v>
      </c>
      <c r="I350" s="15" t="s">
        <v>53</v>
      </c>
      <c r="J350" s="10" t="s">
        <v>53</v>
      </c>
      <c r="K350" s="10"/>
      <c r="L350" s="10" t="s">
        <v>1750</v>
      </c>
    </row>
    <row r="351" ht="154" customHeight="1" spans="1:12">
      <c r="A351" s="6" t="s">
        <v>1751</v>
      </c>
      <c r="B351" s="7" t="s">
        <v>1752</v>
      </c>
      <c r="C351" s="7"/>
      <c r="D351" s="7" t="s">
        <v>1753</v>
      </c>
      <c r="E351" s="7" t="s">
        <v>1754</v>
      </c>
      <c r="F351" s="7"/>
      <c r="G351" s="7"/>
      <c r="H351" s="6" t="s">
        <v>135</v>
      </c>
      <c r="I351" s="9" t="s">
        <v>1755</v>
      </c>
      <c r="J351" s="10" t="s">
        <v>1756</v>
      </c>
      <c r="K351" s="10"/>
      <c r="L351" s="10" t="s">
        <v>1750</v>
      </c>
    </row>
    <row r="352" ht="66" customHeight="1" spans="1:12">
      <c r="A352" s="6" t="s">
        <v>53</v>
      </c>
      <c r="B352" s="7" t="s">
        <v>53</v>
      </c>
      <c r="C352" s="7"/>
      <c r="D352" s="7" t="s">
        <v>1757</v>
      </c>
      <c r="E352" s="7" t="s">
        <v>53</v>
      </c>
      <c r="F352" s="7"/>
      <c r="G352" s="7"/>
      <c r="H352" s="6" t="s">
        <v>53</v>
      </c>
      <c r="I352" s="15" t="s">
        <v>53</v>
      </c>
      <c r="J352" s="10" t="s">
        <v>53</v>
      </c>
      <c r="K352" s="10"/>
      <c r="L352" s="10" t="s">
        <v>1758</v>
      </c>
    </row>
    <row r="353" ht="154" customHeight="1" spans="1:12">
      <c r="A353" s="6" t="s">
        <v>1759</v>
      </c>
      <c r="B353" s="7" t="s">
        <v>1760</v>
      </c>
      <c r="C353" s="7"/>
      <c r="D353" s="7" t="s">
        <v>1686</v>
      </c>
      <c r="E353" s="7" t="s">
        <v>1761</v>
      </c>
      <c r="F353" s="7"/>
      <c r="G353" s="7"/>
      <c r="H353" s="6" t="s">
        <v>135</v>
      </c>
      <c r="I353" s="9" t="s">
        <v>1762</v>
      </c>
      <c r="J353" s="10" t="s">
        <v>1763</v>
      </c>
      <c r="K353" s="10"/>
      <c r="L353" s="10" t="s">
        <v>1758</v>
      </c>
    </row>
    <row r="354" ht="36" customHeight="1" spans="1:12">
      <c r="A354" s="6" t="s">
        <v>53</v>
      </c>
      <c r="B354" s="7" t="s">
        <v>53</v>
      </c>
      <c r="C354" s="7"/>
      <c r="D354" s="7" t="s">
        <v>1764</v>
      </c>
      <c r="E354" s="7" t="s">
        <v>53</v>
      </c>
      <c r="F354" s="7"/>
      <c r="G354" s="7"/>
      <c r="H354" s="6" t="s">
        <v>53</v>
      </c>
      <c r="I354" s="15" t="s">
        <v>53</v>
      </c>
      <c r="J354" s="10" t="s">
        <v>53</v>
      </c>
      <c r="K354" s="10"/>
      <c r="L354" s="10" t="s">
        <v>1765</v>
      </c>
    </row>
    <row r="355" ht="139" customHeight="1" spans="1:12">
      <c r="A355" s="6" t="s">
        <v>1766</v>
      </c>
      <c r="B355" s="7" t="s">
        <v>1767</v>
      </c>
      <c r="C355" s="7"/>
      <c r="D355" s="7" t="s">
        <v>1679</v>
      </c>
      <c r="E355" s="7" t="s">
        <v>1768</v>
      </c>
      <c r="F355" s="7"/>
      <c r="G355" s="7"/>
      <c r="H355" s="6" t="s">
        <v>135</v>
      </c>
      <c r="I355" s="9" t="s">
        <v>1769</v>
      </c>
      <c r="J355" s="10" t="s">
        <v>1770</v>
      </c>
      <c r="K355" s="10"/>
      <c r="L355" s="10" t="s">
        <v>1771</v>
      </c>
    </row>
    <row r="356" ht="110" customHeight="1" spans="1:12">
      <c r="A356" s="6" t="s">
        <v>1772</v>
      </c>
      <c r="B356" s="7" t="s">
        <v>1773</v>
      </c>
      <c r="C356" s="7"/>
      <c r="D356" s="7" t="s">
        <v>1753</v>
      </c>
      <c r="E356" s="7" t="s">
        <v>1774</v>
      </c>
      <c r="F356" s="7"/>
      <c r="G356" s="7"/>
      <c r="H356" s="6" t="s">
        <v>135</v>
      </c>
      <c r="I356" s="9" t="s">
        <v>1769</v>
      </c>
      <c r="J356" s="10" t="s">
        <v>1775</v>
      </c>
      <c r="K356" s="10"/>
      <c r="L356" s="10" t="s">
        <v>1776</v>
      </c>
    </row>
    <row r="357" ht="23" customHeight="1" spans="1:12">
      <c r="A357" s="6" t="s">
        <v>53</v>
      </c>
      <c r="B357" s="7" t="s">
        <v>53</v>
      </c>
      <c r="C357" s="7"/>
      <c r="D357" s="7" t="s">
        <v>1777</v>
      </c>
      <c r="E357" s="7" t="s">
        <v>53</v>
      </c>
      <c r="F357" s="7"/>
      <c r="G357" s="7"/>
      <c r="H357" s="6" t="s">
        <v>53</v>
      </c>
      <c r="I357" s="15" t="s">
        <v>53</v>
      </c>
      <c r="J357" s="10" t="s">
        <v>53</v>
      </c>
      <c r="K357" s="10"/>
      <c r="L357" s="10" t="s">
        <v>1778</v>
      </c>
    </row>
    <row r="358" ht="139" customHeight="1" spans="1:12">
      <c r="A358" s="6" t="s">
        <v>1779</v>
      </c>
      <c r="B358" s="7" t="s">
        <v>1780</v>
      </c>
      <c r="C358" s="7"/>
      <c r="D358" s="7" t="s">
        <v>1781</v>
      </c>
      <c r="E358" s="7" t="s">
        <v>1782</v>
      </c>
      <c r="F358" s="7"/>
      <c r="G358" s="7"/>
      <c r="H358" s="6" t="s">
        <v>135</v>
      </c>
      <c r="I358" s="9" t="s">
        <v>1783</v>
      </c>
      <c r="J358" s="10" t="s">
        <v>1784</v>
      </c>
      <c r="K358" s="10"/>
      <c r="L358" s="10" t="s">
        <v>1778</v>
      </c>
    </row>
    <row r="359" ht="36" customHeight="1" spans="1:12">
      <c r="A359" s="6" t="s">
        <v>53</v>
      </c>
      <c r="B359" s="7" t="s">
        <v>53</v>
      </c>
      <c r="C359" s="7"/>
      <c r="D359" s="7" t="s">
        <v>1785</v>
      </c>
      <c r="E359" s="7" t="s">
        <v>53</v>
      </c>
      <c r="F359" s="7"/>
      <c r="G359" s="7"/>
      <c r="H359" s="6" t="s">
        <v>53</v>
      </c>
      <c r="I359" s="15" t="s">
        <v>53</v>
      </c>
      <c r="J359" s="10" t="s">
        <v>53</v>
      </c>
      <c r="K359" s="10"/>
      <c r="L359" s="10" t="s">
        <v>1786</v>
      </c>
    </row>
    <row r="360" ht="169" customHeight="1" spans="1:12">
      <c r="A360" s="6" t="s">
        <v>1787</v>
      </c>
      <c r="B360" s="7" t="s">
        <v>1788</v>
      </c>
      <c r="C360" s="7"/>
      <c r="D360" s="7" t="s">
        <v>1789</v>
      </c>
      <c r="E360" s="7" t="s">
        <v>1790</v>
      </c>
      <c r="F360" s="7"/>
      <c r="G360" s="7"/>
      <c r="H360" s="6" t="s">
        <v>1791</v>
      </c>
      <c r="I360" s="9" t="s">
        <v>1792</v>
      </c>
      <c r="J360" s="10" t="s">
        <v>1793</v>
      </c>
      <c r="K360" s="10"/>
      <c r="L360" s="10" t="s">
        <v>1786</v>
      </c>
    </row>
    <row r="361" ht="36" customHeight="1" spans="1:12">
      <c r="A361" s="6" t="s">
        <v>53</v>
      </c>
      <c r="B361" s="7" t="s">
        <v>53</v>
      </c>
      <c r="C361" s="7"/>
      <c r="D361" s="7" t="s">
        <v>1794</v>
      </c>
      <c r="E361" s="7" t="s">
        <v>53</v>
      </c>
      <c r="F361" s="7"/>
      <c r="G361" s="7"/>
      <c r="H361" s="6" t="s">
        <v>53</v>
      </c>
      <c r="I361" s="15" t="s">
        <v>53</v>
      </c>
      <c r="J361" s="10" t="s">
        <v>53</v>
      </c>
      <c r="K361" s="10"/>
      <c r="L361" s="10" t="s">
        <v>1795</v>
      </c>
    </row>
    <row r="362" ht="139" customHeight="1" spans="1:12">
      <c r="A362" s="6" t="s">
        <v>1796</v>
      </c>
      <c r="B362" s="7" t="s">
        <v>1797</v>
      </c>
      <c r="C362" s="7"/>
      <c r="D362" s="7" t="s">
        <v>1729</v>
      </c>
      <c r="E362" s="7" t="s">
        <v>1798</v>
      </c>
      <c r="F362" s="7"/>
      <c r="G362" s="7"/>
      <c r="H362" s="6" t="s">
        <v>135</v>
      </c>
      <c r="I362" s="9" t="s">
        <v>1799</v>
      </c>
      <c r="J362" s="10" t="s">
        <v>1731</v>
      </c>
      <c r="K362" s="10"/>
      <c r="L362" s="10" t="s">
        <v>1795</v>
      </c>
    </row>
    <row r="363" ht="23" customHeight="1" spans="1:12">
      <c r="A363" s="6" t="s">
        <v>53</v>
      </c>
      <c r="B363" s="7" t="s">
        <v>53</v>
      </c>
      <c r="C363" s="7"/>
      <c r="D363" s="7" t="s">
        <v>1800</v>
      </c>
      <c r="E363" s="7" t="s">
        <v>53</v>
      </c>
      <c r="F363" s="7"/>
      <c r="G363" s="7"/>
      <c r="H363" s="6" t="s">
        <v>53</v>
      </c>
      <c r="I363" s="15" t="s">
        <v>53</v>
      </c>
      <c r="J363" s="10" t="s">
        <v>53</v>
      </c>
      <c r="K363" s="10"/>
      <c r="L363" s="10" t="s">
        <v>1801</v>
      </c>
    </row>
    <row r="364" ht="154" customHeight="1" spans="1:12">
      <c r="A364" s="6" t="s">
        <v>1802</v>
      </c>
      <c r="B364" s="7" t="s">
        <v>1803</v>
      </c>
      <c r="C364" s="7"/>
      <c r="D364" s="7" t="s">
        <v>1804</v>
      </c>
      <c r="E364" s="7" t="s">
        <v>1805</v>
      </c>
      <c r="F364" s="7"/>
      <c r="G364" s="7"/>
      <c r="H364" s="6" t="s">
        <v>135</v>
      </c>
      <c r="I364" s="9" t="s">
        <v>1806</v>
      </c>
      <c r="J364" s="10" t="s">
        <v>1807</v>
      </c>
      <c r="K364" s="10"/>
      <c r="L364" s="10" t="s">
        <v>1808</v>
      </c>
    </row>
    <row r="365" ht="125" customHeight="1" spans="1:12">
      <c r="A365" s="6" t="s">
        <v>1809</v>
      </c>
      <c r="B365" s="7" t="s">
        <v>1810</v>
      </c>
      <c r="C365" s="7"/>
      <c r="D365" s="7" t="s">
        <v>1811</v>
      </c>
      <c r="E365" s="7" t="s">
        <v>1812</v>
      </c>
      <c r="F365" s="7"/>
      <c r="G365" s="7"/>
      <c r="H365" s="6" t="s">
        <v>135</v>
      </c>
      <c r="I365" s="9" t="s">
        <v>1806</v>
      </c>
      <c r="J365" s="10" t="s">
        <v>1813</v>
      </c>
      <c r="K365" s="10"/>
      <c r="L365" s="10" t="s">
        <v>1814</v>
      </c>
    </row>
    <row r="366" ht="23" customHeight="1" spans="1:12">
      <c r="A366" s="6" t="s">
        <v>53</v>
      </c>
      <c r="B366" s="7" t="s">
        <v>53</v>
      </c>
      <c r="C366" s="7"/>
      <c r="D366" s="7" t="s">
        <v>1815</v>
      </c>
      <c r="E366" s="7" t="s">
        <v>53</v>
      </c>
      <c r="F366" s="7"/>
      <c r="G366" s="7"/>
      <c r="H366" s="6" t="s">
        <v>53</v>
      </c>
      <c r="I366" s="15" t="s">
        <v>53</v>
      </c>
      <c r="J366" s="10" t="s">
        <v>53</v>
      </c>
      <c r="K366" s="10"/>
      <c r="L366" s="10" t="s">
        <v>1816</v>
      </c>
    </row>
    <row r="367" ht="36" customHeight="1" spans="1:12">
      <c r="A367" s="6" t="s">
        <v>53</v>
      </c>
      <c r="B367" s="7" t="s">
        <v>53</v>
      </c>
      <c r="C367" s="7"/>
      <c r="D367" s="7" t="s">
        <v>1817</v>
      </c>
      <c r="E367" s="7" t="s">
        <v>53</v>
      </c>
      <c r="F367" s="7"/>
      <c r="G367" s="7"/>
      <c r="H367" s="6" t="s">
        <v>53</v>
      </c>
      <c r="I367" s="15" t="s">
        <v>53</v>
      </c>
      <c r="J367" s="10" t="s">
        <v>53</v>
      </c>
      <c r="K367" s="10"/>
      <c r="L367" s="10" t="s">
        <v>1818</v>
      </c>
    </row>
    <row r="368" ht="198" customHeight="1" spans="1:12">
      <c r="A368" s="6" t="s">
        <v>1819</v>
      </c>
      <c r="B368" s="7" t="s">
        <v>1820</v>
      </c>
      <c r="C368" s="7"/>
      <c r="D368" s="7" t="s">
        <v>1679</v>
      </c>
      <c r="E368" s="7" t="s">
        <v>1821</v>
      </c>
      <c r="F368" s="7"/>
      <c r="G368" s="7"/>
      <c r="H368" s="6" t="s">
        <v>135</v>
      </c>
      <c r="I368" s="9" t="s">
        <v>1822</v>
      </c>
      <c r="J368" s="10" t="s">
        <v>1823</v>
      </c>
      <c r="K368" s="10"/>
      <c r="L368" s="10" t="s">
        <v>1824</v>
      </c>
    </row>
    <row r="369" ht="125" customHeight="1" spans="1:12">
      <c r="A369" s="6" t="s">
        <v>1825</v>
      </c>
      <c r="B369" s="7" t="s">
        <v>1826</v>
      </c>
      <c r="C369" s="7"/>
      <c r="D369" s="7" t="s">
        <v>1679</v>
      </c>
      <c r="E369" s="7" t="s">
        <v>1711</v>
      </c>
      <c r="F369" s="7"/>
      <c r="G369" s="7"/>
      <c r="H369" s="6" t="s">
        <v>135</v>
      </c>
      <c r="I369" s="9" t="s">
        <v>1822</v>
      </c>
      <c r="J369" s="10" t="s">
        <v>1712</v>
      </c>
      <c r="K369" s="10"/>
      <c r="L369" s="10" t="s">
        <v>1827</v>
      </c>
    </row>
    <row r="370" ht="213" customHeight="1" spans="1:12">
      <c r="A370" s="6" t="s">
        <v>1828</v>
      </c>
      <c r="B370" s="7" t="s">
        <v>1829</v>
      </c>
      <c r="C370" s="7"/>
      <c r="D370" s="7" t="s">
        <v>1686</v>
      </c>
      <c r="E370" s="7" t="s">
        <v>1830</v>
      </c>
      <c r="F370" s="7"/>
      <c r="G370" s="7"/>
      <c r="H370" s="6" t="s">
        <v>135</v>
      </c>
      <c r="I370" s="9" t="s">
        <v>1822</v>
      </c>
      <c r="J370" s="10" t="s">
        <v>1831</v>
      </c>
      <c r="K370" s="10"/>
      <c r="L370" s="10" t="s">
        <v>1832</v>
      </c>
    </row>
    <row r="371" ht="66" customHeight="1" spans="1:12">
      <c r="A371" s="6" t="s">
        <v>53</v>
      </c>
      <c r="B371" s="7" t="s">
        <v>53</v>
      </c>
      <c r="C371" s="7"/>
      <c r="D371" s="7" t="s">
        <v>1833</v>
      </c>
      <c r="E371" s="7" t="s">
        <v>53</v>
      </c>
      <c r="F371" s="7"/>
      <c r="G371" s="7"/>
      <c r="H371" s="6" t="s">
        <v>53</v>
      </c>
      <c r="I371" s="15" t="s">
        <v>53</v>
      </c>
      <c r="J371" s="10" t="s">
        <v>53</v>
      </c>
      <c r="K371" s="10"/>
      <c r="L371" s="10" t="s">
        <v>1834</v>
      </c>
    </row>
    <row r="372" ht="198" customHeight="1" spans="1:12">
      <c r="A372" s="6" t="s">
        <v>1835</v>
      </c>
      <c r="B372" s="7" t="s">
        <v>1836</v>
      </c>
      <c r="C372" s="7"/>
      <c r="D372" s="7" t="s">
        <v>1679</v>
      </c>
      <c r="E372" s="7" t="s">
        <v>1821</v>
      </c>
      <c r="F372" s="7"/>
      <c r="G372" s="7"/>
      <c r="H372" s="6" t="s">
        <v>135</v>
      </c>
      <c r="I372" s="9" t="s">
        <v>1837</v>
      </c>
      <c r="J372" s="10" t="s">
        <v>1823</v>
      </c>
      <c r="K372" s="10"/>
      <c r="L372" s="10" t="s">
        <v>1838</v>
      </c>
    </row>
    <row r="373" ht="125" customHeight="1" spans="1:12">
      <c r="A373" s="6" t="s">
        <v>1839</v>
      </c>
      <c r="B373" s="7" t="s">
        <v>1840</v>
      </c>
      <c r="C373" s="7"/>
      <c r="D373" s="7" t="s">
        <v>1679</v>
      </c>
      <c r="E373" s="7" t="s">
        <v>1711</v>
      </c>
      <c r="F373" s="7"/>
      <c r="G373" s="7"/>
      <c r="H373" s="6" t="s">
        <v>135</v>
      </c>
      <c r="I373" s="9" t="s">
        <v>1837</v>
      </c>
      <c r="J373" s="10" t="s">
        <v>1712</v>
      </c>
      <c r="K373" s="10"/>
      <c r="L373" s="10" t="s">
        <v>1841</v>
      </c>
    </row>
    <row r="374" ht="213" customHeight="1" spans="1:12">
      <c r="A374" s="6" t="s">
        <v>1842</v>
      </c>
      <c r="B374" s="7" t="s">
        <v>1843</v>
      </c>
      <c r="C374" s="7"/>
      <c r="D374" s="7" t="s">
        <v>1686</v>
      </c>
      <c r="E374" s="7" t="s">
        <v>1830</v>
      </c>
      <c r="F374" s="7"/>
      <c r="G374" s="7"/>
      <c r="H374" s="6" t="s">
        <v>135</v>
      </c>
      <c r="I374" s="9" t="s">
        <v>1837</v>
      </c>
      <c r="J374" s="10" t="s">
        <v>1831</v>
      </c>
      <c r="K374" s="10"/>
      <c r="L374" s="10" t="s">
        <v>1844</v>
      </c>
    </row>
    <row r="375" ht="36" customHeight="1" spans="1:12">
      <c r="A375" s="6" t="s">
        <v>53</v>
      </c>
      <c r="B375" s="7" t="s">
        <v>53</v>
      </c>
      <c r="C375" s="7"/>
      <c r="D375" s="7" t="s">
        <v>1845</v>
      </c>
      <c r="E375" s="7" t="s">
        <v>53</v>
      </c>
      <c r="F375" s="7"/>
      <c r="G375" s="7"/>
      <c r="H375" s="6" t="s">
        <v>53</v>
      </c>
      <c r="I375" s="15" t="s">
        <v>53</v>
      </c>
      <c r="J375" s="10" t="s">
        <v>53</v>
      </c>
      <c r="K375" s="10"/>
      <c r="L375" s="10" t="s">
        <v>1846</v>
      </c>
    </row>
    <row r="376" ht="198" customHeight="1" spans="1:12">
      <c r="A376" s="6" t="s">
        <v>1847</v>
      </c>
      <c r="B376" s="7" t="s">
        <v>1848</v>
      </c>
      <c r="C376" s="7"/>
      <c r="D376" s="7" t="s">
        <v>1849</v>
      </c>
      <c r="E376" s="7" t="s">
        <v>1850</v>
      </c>
      <c r="F376" s="7"/>
      <c r="G376" s="7"/>
      <c r="H376" s="6" t="s">
        <v>135</v>
      </c>
      <c r="I376" s="9" t="s">
        <v>1851</v>
      </c>
      <c r="J376" s="10" t="s">
        <v>1852</v>
      </c>
      <c r="K376" s="10"/>
      <c r="L376" s="10" t="s">
        <v>1846</v>
      </c>
    </row>
    <row r="377" ht="23" customHeight="1" spans="1:12">
      <c r="A377" s="6" t="s">
        <v>53</v>
      </c>
      <c r="B377" s="7" t="s">
        <v>53</v>
      </c>
      <c r="C377" s="7"/>
      <c r="D377" s="7" t="s">
        <v>1853</v>
      </c>
      <c r="E377" s="7" t="s">
        <v>53</v>
      </c>
      <c r="F377" s="7"/>
      <c r="G377" s="7"/>
      <c r="H377" s="6" t="s">
        <v>53</v>
      </c>
      <c r="I377" s="15" t="s">
        <v>53</v>
      </c>
      <c r="J377" s="10" t="s">
        <v>53</v>
      </c>
      <c r="K377" s="10"/>
      <c r="L377" s="10" t="s">
        <v>1854</v>
      </c>
    </row>
    <row r="378" ht="154" customHeight="1" spans="1:12">
      <c r="A378" s="6" t="s">
        <v>1855</v>
      </c>
      <c r="B378" s="7" t="s">
        <v>1856</v>
      </c>
      <c r="C378" s="7"/>
      <c r="D378" s="7" t="s">
        <v>1857</v>
      </c>
      <c r="E378" s="7" t="s">
        <v>1805</v>
      </c>
      <c r="F378" s="7"/>
      <c r="G378" s="7"/>
      <c r="H378" s="6" t="s">
        <v>135</v>
      </c>
      <c r="I378" s="9" t="s">
        <v>1858</v>
      </c>
      <c r="J378" s="10" t="s">
        <v>1807</v>
      </c>
      <c r="K378" s="10"/>
      <c r="L378" s="10" t="s">
        <v>1859</v>
      </c>
    </row>
    <row r="379" ht="125" customHeight="1" spans="1:12">
      <c r="A379" s="6" t="s">
        <v>1860</v>
      </c>
      <c r="B379" s="7" t="s">
        <v>1861</v>
      </c>
      <c r="C379" s="7"/>
      <c r="D379" s="7" t="s">
        <v>1862</v>
      </c>
      <c r="E379" s="7" t="s">
        <v>1812</v>
      </c>
      <c r="F379" s="7"/>
      <c r="G379" s="7"/>
      <c r="H379" s="6" t="s">
        <v>135</v>
      </c>
      <c r="I379" s="9" t="s">
        <v>1858</v>
      </c>
      <c r="J379" s="10" t="s">
        <v>1863</v>
      </c>
      <c r="K379" s="10"/>
      <c r="L379" s="10" t="s">
        <v>1864</v>
      </c>
    </row>
    <row r="380" ht="125" customHeight="1" spans="1:12">
      <c r="A380" s="6" t="s">
        <v>1865</v>
      </c>
      <c r="B380" s="7" t="s">
        <v>1866</v>
      </c>
      <c r="C380" s="7"/>
      <c r="D380" s="7" t="s">
        <v>1867</v>
      </c>
      <c r="E380" s="7" t="s">
        <v>1868</v>
      </c>
      <c r="F380" s="7"/>
      <c r="G380" s="7"/>
      <c r="H380" s="6" t="s">
        <v>998</v>
      </c>
      <c r="I380" s="9" t="s">
        <v>1869</v>
      </c>
      <c r="J380" s="10" t="s">
        <v>1870</v>
      </c>
      <c r="K380" s="10"/>
      <c r="L380" s="10" t="s">
        <v>1871</v>
      </c>
    </row>
    <row r="381" ht="23" customHeight="1" spans="1:12">
      <c r="A381" s="6" t="s">
        <v>53</v>
      </c>
      <c r="B381" s="7" t="s">
        <v>53</v>
      </c>
      <c r="C381" s="7"/>
      <c r="D381" s="7" t="s">
        <v>34</v>
      </c>
      <c r="E381" s="7" t="s">
        <v>53</v>
      </c>
      <c r="F381" s="7"/>
      <c r="G381" s="7"/>
      <c r="H381" s="6" t="s">
        <v>53</v>
      </c>
      <c r="I381" s="15" t="s">
        <v>53</v>
      </c>
      <c r="J381" s="10" t="s">
        <v>53</v>
      </c>
      <c r="K381" s="10"/>
      <c r="L381" s="10" t="s">
        <v>35</v>
      </c>
    </row>
    <row r="382" ht="36" customHeight="1" spans="1:12">
      <c r="A382" s="6" t="s">
        <v>53</v>
      </c>
      <c r="B382" s="7" t="s">
        <v>53</v>
      </c>
      <c r="C382" s="7"/>
      <c r="D382" s="7" t="s">
        <v>1872</v>
      </c>
      <c r="E382" s="7" t="s">
        <v>53</v>
      </c>
      <c r="F382" s="7"/>
      <c r="G382" s="7"/>
      <c r="H382" s="6" t="s">
        <v>53</v>
      </c>
      <c r="I382" s="15" t="s">
        <v>53</v>
      </c>
      <c r="J382" s="10" t="s">
        <v>53</v>
      </c>
      <c r="K382" s="10"/>
      <c r="L382" s="10" t="s">
        <v>1873</v>
      </c>
    </row>
    <row r="383" ht="125" customHeight="1" spans="1:12">
      <c r="A383" s="6" t="s">
        <v>1874</v>
      </c>
      <c r="B383" s="7" t="s">
        <v>1875</v>
      </c>
      <c r="C383" s="7"/>
      <c r="D383" s="7" t="s">
        <v>1876</v>
      </c>
      <c r="E383" s="7" t="s">
        <v>1877</v>
      </c>
      <c r="F383" s="7"/>
      <c r="G383" s="7"/>
      <c r="H383" s="6" t="s">
        <v>135</v>
      </c>
      <c r="I383" s="9" t="s">
        <v>1878</v>
      </c>
      <c r="J383" s="10" t="s">
        <v>1879</v>
      </c>
      <c r="K383" s="10"/>
      <c r="L383" s="10" t="s">
        <v>1880</v>
      </c>
    </row>
    <row r="384" ht="125" customHeight="1" spans="1:12">
      <c r="A384" s="6" t="s">
        <v>1881</v>
      </c>
      <c r="B384" s="7" t="s">
        <v>1882</v>
      </c>
      <c r="C384" s="7"/>
      <c r="D384" s="7" t="s">
        <v>1883</v>
      </c>
      <c r="E384" s="7" t="s">
        <v>1884</v>
      </c>
      <c r="F384" s="7"/>
      <c r="G384" s="7"/>
      <c r="H384" s="6" t="s">
        <v>135</v>
      </c>
      <c r="I384" s="9" t="s">
        <v>1878</v>
      </c>
      <c r="J384" s="10" t="s">
        <v>1885</v>
      </c>
      <c r="K384" s="10"/>
      <c r="L384" s="10" t="s">
        <v>1886</v>
      </c>
    </row>
    <row r="385" ht="139" customHeight="1" spans="1:12">
      <c r="A385" s="6" t="s">
        <v>1887</v>
      </c>
      <c r="B385" s="7" t="s">
        <v>1888</v>
      </c>
      <c r="C385" s="7"/>
      <c r="D385" s="7" t="s">
        <v>1889</v>
      </c>
      <c r="E385" s="7" t="s">
        <v>1890</v>
      </c>
      <c r="F385" s="7"/>
      <c r="G385" s="7"/>
      <c r="H385" s="6" t="s">
        <v>135</v>
      </c>
      <c r="I385" s="9" t="s">
        <v>1878</v>
      </c>
      <c r="J385" s="10" t="s">
        <v>1891</v>
      </c>
      <c r="K385" s="10"/>
      <c r="L385" s="10" t="s">
        <v>1892</v>
      </c>
    </row>
    <row r="386" ht="66" customHeight="1" spans="1:12">
      <c r="A386" s="6" t="s">
        <v>53</v>
      </c>
      <c r="B386" s="7" t="s">
        <v>53</v>
      </c>
      <c r="C386" s="7"/>
      <c r="D386" s="7" t="s">
        <v>1893</v>
      </c>
      <c r="E386" s="7" t="s">
        <v>53</v>
      </c>
      <c r="F386" s="7"/>
      <c r="G386" s="7"/>
      <c r="H386" s="6" t="s">
        <v>53</v>
      </c>
      <c r="I386" s="15" t="s">
        <v>53</v>
      </c>
      <c r="J386" s="10" t="s">
        <v>53</v>
      </c>
      <c r="K386" s="10"/>
      <c r="L386" s="10" t="s">
        <v>1894</v>
      </c>
    </row>
    <row r="387" ht="125" customHeight="1" spans="1:12">
      <c r="A387" s="6" t="s">
        <v>1895</v>
      </c>
      <c r="B387" s="7" t="s">
        <v>1896</v>
      </c>
      <c r="C387" s="7"/>
      <c r="D387" s="7" t="s">
        <v>1876</v>
      </c>
      <c r="E387" s="7" t="s">
        <v>1897</v>
      </c>
      <c r="F387" s="7"/>
      <c r="G387" s="7"/>
      <c r="H387" s="6" t="s">
        <v>135</v>
      </c>
      <c r="I387" s="9" t="s">
        <v>1898</v>
      </c>
      <c r="J387" s="10" t="s">
        <v>1879</v>
      </c>
      <c r="K387" s="10"/>
      <c r="L387" s="10" t="s">
        <v>1899</v>
      </c>
    </row>
    <row r="388" ht="125" customHeight="1" spans="1:12">
      <c r="A388" s="6" t="s">
        <v>1900</v>
      </c>
      <c r="B388" s="7" t="s">
        <v>1901</v>
      </c>
      <c r="C388" s="7"/>
      <c r="D388" s="7" t="s">
        <v>1902</v>
      </c>
      <c r="E388" s="7" t="s">
        <v>1903</v>
      </c>
      <c r="F388" s="7"/>
      <c r="G388" s="7"/>
      <c r="H388" s="6" t="s">
        <v>135</v>
      </c>
      <c r="I388" s="9" t="s">
        <v>1898</v>
      </c>
      <c r="J388" s="10" t="s">
        <v>1904</v>
      </c>
      <c r="K388" s="10"/>
      <c r="L388" s="10" t="s">
        <v>1905</v>
      </c>
    </row>
    <row r="389" ht="125" customHeight="1" spans="1:12">
      <c r="A389" s="6" t="s">
        <v>1906</v>
      </c>
      <c r="B389" s="7" t="s">
        <v>1907</v>
      </c>
      <c r="C389" s="7"/>
      <c r="D389" s="7" t="s">
        <v>1883</v>
      </c>
      <c r="E389" s="7" t="s">
        <v>1908</v>
      </c>
      <c r="F389" s="7"/>
      <c r="G389" s="7"/>
      <c r="H389" s="6" t="s">
        <v>135</v>
      </c>
      <c r="I389" s="9" t="s">
        <v>1898</v>
      </c>
      <c r="J389" s="10" t="s">
        <v>1885</v>
      </c>
      <c r="K389" s="10"/>
      <c r="L389" s="10" t="s">
        <v>1909</v>
      </c>
    </row>
    <row r="390" ht="154" customHeight="1" spans="1:12">
      <c r="A390" s="6" t="s">
        <v>1910</v>
      </c>
      <c r="B390" s="7" t="s">
        <v>1911</v>
      </c>
      <c r="C390" s="7"/>
      <c r="D390" s="7" t="s">
        <v>1889</v>
      </c>
      <c r="E390" s="7" t="s">
        <v>1912</v>
      </c>
      <c r="F390" s="7"/>
      <c r="G390" s="7"/>
      <c r="H390" s="6" t="s">
        <v>135</v>
      </c>
      <c r="I390" s="9" t="s">
        <v>1898</v>
      </c>
      <c r="J390" s="10" t="s">
        <v>1913</v>
      </c>
      <c r="K390" s="10"/>
      <c r="L390" s="10" t="s">
        <v>1914</v>
      </c>
    </row>
    <row r="391" ht="66" customHeight="1" spans="1:12">
      <c r="A391" s="6" t="s">
        <v>53</v>
      </c>
      <c r="B391" s="7" t="s">
        <v>53</v>
      </c>
      <c r="C391" s="7"/>
      <c r="D391" s="7" t="s">
        <v>1915</v>
      </c>
      <c r="E391" s="7" t="s">
        <v>53</v>
      </c>
      <c r="F391" s="7"/>
      <c r="G391" s="7"/>
      <c r="H391" s="6" t="s">
        <v>53</v>
      </c>
      <c r="I391" s="15" t="s">
        <v>53</v>
      </c>
      <c r="J391" s="10" t="s">
        <v>53</v>
      </c>
      <c r="K391" s="10"/>
      <c r="L391" s="10" t="s">
        <v>1916</v>
      </c>
    </row>
    <row r="392" ht="125" customHeight="1" spans="1:12">
      <c r="A392" s="6" t="s">
        <v>1917</v>
      </c>
      <c r="B392" s="7" t="s">
        <v>1918</v>
      </c>
      <c r="C392" s="7"/>
      <c r="D392" s="7" t="s">
        <v>1876</v>
      </c>
      <c r="E392" s="7" t="s">
        <v>1877</v>
      </c>
      <c r="F392" s="7"/>
      <c r="G392" s="7"/>
      <c r="H392" s="6" t="s">
        <v>135</v>
      </c>
      <c r="I392" s="9" t="s">
        <v>1919</v>
      </c>
      <c r="J392" s="10" t="s">
        <v>1879</v>
      </c>
      <c r="K392" s="10"/>
      <c r="L392" s="10" t="s">
        <v>1920</v>
      </c>
    </row>
    <row r="393" ht="169" customHeight="1" spans="1:12">
      <c r="A393" s="6" t="s">
        <v>1921</v>
      </c>
      <c r="B393" s="7" t="s">
        <v>1922</v>
      </c>
      <c r="C393" s="7"/>
      <c r="D393" s="7" t="s">
        <v>1889</v>
      </c>
      <c r="E393" s="7" t="s">
        <v>1923</v>
      </c>
      <c r="F393" s="7"/>
      <c r="G393" s="7"/>
      <c r="H393" s="6" t="s">
        <v>135</v>
      </c>
      <c r="I393" s="9" t="s">
        <v>1919</v>
      </c>
      <c r="J393" s="10" t="s">
        <v>1924</v>
      </c>
      <c r="K393" s="10"/>
      <c r="L393" s="10" t="s">
        <v>1925</v>
      </c>
    </row>
    <row r="394" ht="36" customHeight="1" spans="1:12">
      <c r="A394" s="6" t="s">
        <v>53</v>
      </c>
      <c r="B394" s="7" t="s">
        <v>53</v>
      </c>
      <c r="C394" s="7"/>
      <c r="D394" s="7" t="s">
        <v>1926</v>
      </c>
      <c r="E394" s="7" t="s">
        <v>1927</v>
      </c>
      <c r="F394" s="7"/>
      <c r="G394" s="7"/>
      <c r="H394" s="6" t="s">
        <v>53</v>
      </c>
      <c r="I394" s="15" t="s">
        <v>53</v>
      </c>
      <c r="J394" s="10" t="s">
        <v>53</v>
      </c>
      <c r="K394" s="10"/>
      <c r="L394" s="10" t="s">
        <v>1928</v>
      </c>
    </row>
    <row r="395" ht="154" customHeight="1" spans="1:12">
      <c r="A395" s="6" t="s">
        <v>1929</v>
      </c>
      <c r="B395" s="7" t="s">
        <v>1930</v>
      </c>
      <c r="C395" s="7"/>
      <c r="D395" s="7" t="s">
        <v>1931</v>
      </c>
      <c r="E395" s="7" t="s">
        <v>1932</v>
      </c>
      <c r="F395" s="7"/>
      <c r="G395" s="7"/>
      <c r="H395" s="6" t="s">
        <v>135</v>
      </c>
      <c r="I395" s="9" t="s">
        <v>1933</v>
      </c>
      <c r="J395" s="10" t="s">
        <v>1934</v>
      </c>
      <c r="K395" s="10"/>
      <c r="L395" s="10" t="s">
        <v>1935</v>
      </c>
    </row>
    <row r="396" ht="183" customHeight="1" spans="1:12">
      <c r="A396" s="6" t="s">
        <v>1936</v>
      </c>
      <c r="B396" s="7" t="s">
        <v>1937</v>
      </c>
      <c r="C396" s="7"/>
      <c r="D396" s="7" t="s">
        <v>1938</v>
      </c>
      <c r="E396" s="7" t="s">
        <v>1939</v>
      </c>
      <c r="F396" s="7"/>
      <c r="G396" s="7"/>
      <c r="H396" s="6" t="s">
        <v>579</v>
      </c>
      <c r="I396" s="9" t="s">
        <v>1940</v>
      </c>
      <c r="J396" s="10" t="s">
        <v>1941</v>
      </c>
      <c r="K396" s="10"/>
      <c r="L396" s="10" t="s">
        <v>1942</v>
      </c>
    </row>
    <row r="397" ht="51" customHeight="1" spans="1:12">
      <c r="A397" s="6" t="s">
        <v>53</v>
      </c>
      <c r="B397" s="7" t="s">
        <v>53</v>
      </c>
      <c r="C397" s="7"/>
      <c r="D397" s="7" t="s">
        <v>1943</v>
      </c>
      <c r="E397" s="7" t="s">
        <v>1944</v>
      </c>
      <c r="F397" s="7"/>
      <c r="G397" s="7"/>
      <c r="H397" s="6" t="s">
        <v>53</v>
      </c>
      <c r="I397" s="15" t="s">
        <v>53</v>
      </c>
      <c r="J397" s="10" t="s">
        <v>53</v>
      </c>
      <c r="K397" s="10"/>
      <c r="L397" s="10" t="s">
        <v>1945</v>
      </c>
    </row>
    <row r="398" ht="213" customHeight="1" spans="1:12">
      <c r="A398" s="6" t="s">
        <v>1946</v>
      </c>
      <c r="B398" s="7" t="s">
        <v>1947</v>
      </c>
      <c r="C398" s="7"/>
      <c r="D398" s="7" t="s">
        <v>1931</v>
      </c>
      <c r="E398" s="7" t="s">
        <v>1948</v>
      </c>
      <c r="F398" s="7"/>
      <c r="G398" s="7"/>
      <c r="H398" s="6" t="s">
        <v>135</v>
      </c>
      <c r="I398" s="9" t="s">
        <v>1949</v>
      </c>
      <c r="J398" s="10" t="s">
        <v>1950</v>
      </c>
      <c r="K398" s="10"/>
      <c r="L398" s="10" t="s">
        <v>1945</v>
      </c>
    </row>
    <row r="399" ht="23" customHeight="1" spans="1:12">
      <c r="A399" s="6" t="s">
        <v>53</v>
      </c>
      <c r="B399" s="7" t="s">
        <v>53</v>
      </c>
      <c r="C399" s="7"/>
      <c r="D399" s="7" t="s">
        <v>37</v>
      </c>
      <c r="E399" s="7" t="s">
        <v>53</v>
      </c>
      <c r="F399" s="7"/>
      <c r="G399" s="7"/>
      <c r="H399" s="6" t="s">
        <v>53</v>
      </c>
      <c r="I399" s="15" t="s">
        <v>53</v>
      </c>
      <c r="J399" s="10" t="s">
        <v>53</v>
      </c>
      <c r="K399" s="10"/>
      <c r="L399" s="10" t="s">
        <v>38</v>
      </c>
    </row>
    <row r="400" ht="169" customHeight="1" spans="1:12">
      <c r="A400" s="6" t="s">
        <v>1951</v>
      </c>
      <c r="B400" s="7" t="s">
        <v>1952</v>
      </c>
      <c r="C400" s="7"/>
      <c r="D400" s="7" t="s">
        <v>1953</v>
      </c>
      <c r="E400" s="7" t="s">
        <v>1954</v>
      </c>
      <c r="F400" s="7"/>
      <c r="G400" s="7"/>
      <c r="H400" s="6" t="s">
        <v>135</v>
      </c>
      <c r="I400" s="9" t="s">
        <v>1955</v>
      </c>
      <c r="J400" s="10" t="s">
        <v>1956</v>
      </c>
      <c r="K400" s="10"/>
      <c r="L400" s="10" t="s">
        <v>1957</v>
      </c>
    </row>
    <row r="401" ht="169" customHeight="1" spans="1:12">
      <c r="A401" s="6" t="s">
        <v>1958</v>
      </c>
      <c r="B401" s="7" t="s">
        <v>1959</v>
      </c>
      <c r="C401" s="7"/>
      <c r="D401" s="7" t="s">
        <v>1960</v>
      </c>
      <c r="E401" s="7" t="s">
        <v>1961</v>
      </c>
      <c r="F401" s="7"/>
      <c r="G401" s="7"/>
      <c r="H401" s="6" t="s">
        <v>135</v>
      </c>
      <c r="I401" s="9" t="s">
        <v>1962</v>
      </c>
      <c r="J401" s="10" t="s">
        <v>1963</v>
      </c>
      <c r="K401" s="10"/>
      <c r="L401" s="10" t="s">
        <v>1964</v>
      </c>
    </row>
    <row r="402" ht="125" customHeight="1" spans="1:12">
      <c r="A402" s="6" t="s">
        <v>1965</v>
      </c>
      <c r="B402" s="7" t="s">
        <v>1966</v>
      </c>
      <c r="C402" s="7"/>
      <c r="D402" s="7" t="s">
        <v>1967</v>
      </c>
      <c r="E402" s="7" t="s">
        <v>1968</v>
      </c>
      <c r="F402" s="7"/>
      <c r="G402" s="7"/>
      <c r="H402" s="6" t="s">
        <v>135</v>
      </c>
      <c r="I402" s="9" t="s">
        <v>1969</v>
      </c>
      <c r="J402" s="10" t="s">
        <v>1970</v>
      </c>
      <c r="K402" s="10"/>
      <c r="L402" s="10" t="s">
        <v>1971</v>
      </c>
    </row>
    <row r="403" ht="125" customHeight="1" spans="1:12">
      <c r="A403" s="6" t="s">
        <v>1972</v>
      </c>
      <c r="B403" s="7" t="s">
        <v>1973</v>
      </c>
      <c r="C403" s="7"/>
      <c r="D403" s="7" t="s">
        <v>1974</v>
      </c>
      <c r="E403" s="7" t="s">
        <v>1975</v>
      </c>
      <c r="F403" s="7"/>
      <c r="G403" s="7"/>
      <c r="H403" s="6" t="s">
        <v>135</v>
      </c>
      <c r="I403" s="9" t="s">
        <v>1976</v>
      </c>
      <c r="J403" s="10" t="s">
        <v>1977</v>
      </c>
      <c r="K403" s="10"/>
      <c r="L403" s="10" t="s">
        <v>1978</v>
      </c>
    </row>
    <row r="404" ht="125" customHeight="1" spans="1:12">
      <c r="A404" s="6" t="s">
        <v>1979</v>
      </c>
      <c r="B404" s="7" t="s">
        <v>1980</v>
      </c>
      <c r="C404" s="7"/>
      <c r="D404" s="7" t="s">
        <v>1981</v>
      </c>
      <c r="E404" s="7" t="s">
        <v>1982</v>
      </c>
      <c r="F404" s="7"/>
      <c r="G404" s="7"/>
      <c r="H404" s="6" t="s">
        <v>135</v>
      </c>
      <c r="I404" s="9" t="s">
        <v>1983</v>
      </c>
      <c r="J404" s="10" t="s">
        <v>1984</v>
      </c>
      <c r="K404" s="10"/>
      <c r="L404" s="10" t="s">
        <v>1985</v>
      </c>
    </row>
    <row r="405" ht="125" customHeight="1" spans="1:12">
      <c r="A405" s="6" t="s">
        <v>1986</v>
      </c>
      <c r="B405" s="7" t="s">
        <v>1987</v>
      </c>
      <c r="C405" s="7"/>
      <c r="D405" s="7" t="s">
        <v>1988</v>
      </c>
      <c r="E405" s="7" t="s">
        <v>1989</v>
      </c>
      <c r="F405" s="7"/>
      <c r="G405" s="7"/>
      <c r="H405" s="6" t="s">
        <v>135</v>
      </c>
      <c r="I405" s="9" t="s">
        <v>1990</v>
      </c>
      <c r="J405" s="10" t="s">
        <v>1991</v>
      </c>
      <c r="K405" s="10"/>
      <c r="L405" s="10" t="s">
        <v>1992</v>
      </c>
    </row>
    <row r="406" ht="183" customHeight="1" spans="1:12">
      <c r="A406" s="6" t="s">
        <v>1993</v>
      </c>
      <c r="B406" s="7" t="s">
        <v>1994</v>
      </c>
      <c r="C406" s="7"/>
      <c r="D406" s="7" t="s">
        <v>1995</v>
      </c>
      <c r="E406" s="7" t="s">
        <v>1996</v>
      </c>
      <c r="F406" s="7"/>
      <c r="G406" s="7"/>
      <c r="H406" s="6" t="s">
        <v>135</v>
      </c>
      <c r="I406" s="9" t="s">
        <v>1997</v>
      </c>
      <c r="J406" s="10" t="s">
        <v>1998</v>
      </c>
      <c r="K406" s="10"/>
      <c r="L406" s="10" t="s">
        <v>1999</v>
      </c>
    </row>
    <row r="407" ht="183" customHeight="1" spans="1:12">
      <c r="A407" s="6" t="s">
        <v>2000</v>
      </c>
      <c r="B407" s="7" t="s">
        <v>2001</v>
      </c>
      <c r="C407" s="7"/>
      <c r="D407" s="7" t="s">
        <v>2002</v>
      </c>
      <c r="E407" s="7" t="s">
        <v>2003</v>
      </c>
      <c r="F407" s="7"/>
      <c r="G407" s="7"/>
      <c r="H407" s="6" t="s">
        <v>135</v>
      </c>
      <c r="I407" s="9" t="s">
        <v>2004</v>
      </c>
      <c r="J407" s="10" t="s">
        <v>2005</v>
      </c>
      <c r="K407" s="10"/>
      <c r="L407" s="10" t="s">
        <v>2006</v>
      </c>
    </row>
    <row r="408" ht="183" customHeight="1" spans="1:12">
      <c r="A408" s="6" t="s">
        <v>2007</v>
      </c>
      <c r="B408" s="7" t="s">
        <v>2008</v>
      </c>
      <c r="C408" s="7"/>
      <c r="D408" s="7" t="s">
        <v>2009</v>
      </c>
      <c r="E408" s="7" t="s">
        <v>2010</v>
      </c>
      <c r="F408" s="7"/>
      <c r="G408" s="7"/>
      <c r="H408" s="6" t="s">
        <v>135</v>
      </c>
      <c r="I408" s="9" t="s">
        <v>2011</v>
      </c>
      <c r="J408" s="10" t="s">
        <v>2012</v>
      </c>
      <c r="K408" s="10"/>
      <c r="L408" s="10" t="s">
        <v>2013</v>
      </c>
    </row>
    <row r="409" ht="183" customHeight="1" spans="1:12">
      <c r="A409" s="6" t="s">
        <v>2014</v>
      </c>
      <c r="B409" s="7" t="s">
        <v>2015</v>
      </c>
      <c r="C409" s="7"/>
      <c r="D409" s="7" t="s">
        <v>2016</v>
      </c>
      <c r="E409" s="7" t="s">
        <v>2017</v>
      </c>
      <c r="F409" s="7"/>
      <c r="G409" s="7"/>
      <c r="H409" s="6" t="s">
        <v>135</v>
      </c>
      <c r="I409" s="9" t="s">
        <v>2018</v>
      </c>
      <c r="J409" s="10" t="s">
        <v>2019</v>
      </c>
      <c r="K409" s="10"/>
      <c r="L409" s="10" t="s">
        <v>2020</v>
      </c>
    </row>
    <row r="410" ht="154" customHeight="1" spans="1:12">
      <c r="A410" s="6" t="s">
        <v>2021</v>
      </c>
      <c r="B410" s="7" t="s">
        <v>2022</v>
      </c>
      <c r="C410" s="7"/>
      <c r="D410" s="7" t="s">
        <v>2023</v>
      </c>
      <c r="E410" s="7" t="s">
        <v>2024</v>
      </c>
      <c r="F410" s="7"/>
      <c r="G410" s="7"/>
      <c r="H410" s="6" t="s">
        <v>135</v>
      </c>
      <c r="I410" s="9" t="s">
        <v>2025</v>
      </c>
      <c r="J410" s="10" t="s">
        <v>2026</v>
      </c>
      <c r="K410" s="10"/>
      <c r="L410" s="10" t="s">
        <v>2027</v>
      </c>
    </row>
    <row r="411" ht="139" customHeight="1" spans="1:12">
      <c r="A411" s="6" t="s">
        <v>2028</v>
      </c>
      <c r="B411" s="7" t="s">
        <v>2029</v>
      </c>
      <c r="C411" s="7"/>
      <c r="D411" s="7" t="s">
        <v>2030</v>
      </c>
      <c r="E411" s="7" t="s">
        <v>2031</v>
      </c>
      <c r="F411" s="7"/>
      <c r="G411" s="7"/>
      <c r="H411" s="6" t="s">
        <v>135</v>
      </c>
      <c r="I411" s="9" t="s">
        <v>2032</v>
      </c>
      <c r="J411" s="10" t="s">
        <v>2033</v>
      </c>
      <c r="K411" s="10"/>
      <c r="L411" s="10" t="s">
        <v>2034</v>
      </c>
    </row>
    <row r="412" ht="125" customHeight="1" spans="1:12">
      <c r="A412" s="6" t="s">
        <v>2035</v>
      </c>
      <c r="B412" s="7" t="s">
        <v>2036</v>
      </c>
      <c r="C412" s="7"/>
      <c r="D412" s="7" t="s">
        <v>2037</v>
      </c>
      <c r="E412" s="7" t="s">
        <v>2038</v>
      </c>
      <c r="F412" s="7"/>
      <c r="G412" s="7"/>
      <c r="H412" s="6" t="s">
        <v>135</v>
      </c>
      <c r="I412" s="9" t="s">
        <v>256</v>
      </c>
      <c r="J412" s="10" t="s">
        <v>2039</v>
      </c>
      <c r="K412" s="10"/>
      <c r="L412" s="10" t="s">
        <v>2039</v>
      </c>
    </row>
    <row r="413" ht="110" customHeight="1" spans="1:12">
      <c r="A413" s="6" t="s">
        <v>2040</v>
      </c>
      <c r="B413" s="7" t="s">
        <v>2041</v>
      </c>
      <c r="C413" s="7"/>
      <c r="D413" s="7" t="s">
        <v>2042</v>
      </c>
      <c r="E413" s="7" t="s">
        <v>2043</v>
      </c>
      <c r="F413" s="7"/>
      <c r="G413" s="7"/>
      <c r="H413" s="6" t="s">
        <v>899</v>
      </c>
      <c r="I413" s="9" t="s">
        <v>2044</v>
      </c>
      <c r="J413" s="10" t="s">
        <v>2045</v>
      </c>
      <c r="K413" s="10"/>
      <c r="L413" s="10" t="s">
        <v>2046</v>
      </c>
    </row>
    <row r="414" ht="110" customHeight="1" spans="1:12">
      <c r="A414" s="6" t="s">
        <v>2047</v>
      </c>
      <c r="B414" s="7" t="s">
        <v>2048</v>
      </c>
      <c r="C414" s="7"/>
      <c r="D414" s="7" t="s">
        <v>2049</v>
      </c>
      <c r="E414" s="7" t="s">
        <v>2050</v>
      </c>
      <c r="F414" s="7"/>
      <c r="G414" s="7"/>
      <c r="H414" s="6" t="s">
        <v>899</v>
      </c>
      <c r="I414" s="9" t="s">
        <v>2051</v>
      </c>
      <c r="J414" s="10" t="s">
        <v>2052</v>
      </c>
      <c r="K414" s="10"/>
      <c r="L414" s="10" t="s">
        <v>2053</v>
      </c>
    </row>
    <row r="415" ht="110" customHeight="1" spans="1:12">
      <c r="A415" s="6" t="s">
        <v>2054</v>
      </c>
      <c r="B415" s="7" t="s">
        <v>2055</v>
      </c>
      <c r="C415" s="7"/>
      <c r="D415" s="7" t="s">
        <v>2056</v>
      </c>
      <c r="E415" s="7" t="s">
        <v>2057</v>
      </c>
      <c r="F415" s="7"/>
      <c r="G415" s="7"/>
      <c r="H415" s="6" t="s">
        <v>899</v>
      </c>
      <c r="I415" s="9" t="s">
        <v>2058</v>
      </c>
      <c r="J415" s="10" t="s">
        <v>2059</v>
      </c>
      <c r="K415" s="10"/>
      <c r="L415" s="10" t="s">
        <v>2060</v>
      </c>
    </row>
    <row r="416" ht="110" customHeight="1" spans="1:12">
      <c r="A416" s="6" t="s">
        <v>2061</v>
      </c>
      <c r="B416" s="7" t="s">
        <v>2062</v>
      </c>
      <c r="C416" s="7"/>
      <c r="D416" s="7" t="s">
        <v>2063</v>
      </c>
      <c r="E416" s="7" t="s">
        <v>2064</v>
      </c>
      <c r="F416" s="7"/>
      <c r="G416" s="7"/>
      <c r="H416" s="6" t="s">
        <v>899</v>
      </c>
      <c r="I416" s="9" t="s">
        <v>2065</v>
      </c>
      <c r="J416" s="10" t="s">
        <v>2066</v>
      </c>
      <c r="K416" s="10"/>
      <c r="L416" s="10" t="s">
        <v>2067</v>
      </c>
    </row>
    <row r="417" ht="110" customHeight="1" spans="1:12">
      <c r="A417" s="6" t="s">
        <v>2068</v>
      </c>
      <c r="B417" s="7" t="s">
        <v>2069</v>
      </c>
      <c r="C417" s="7"/>
      <c r="D417" s="7" t="s">
        <v>2070</v>
      </c>
      <c r="E417" s="7" t="s">
        <v>2071</v>
      </c>
      <c r="F417" s="7"/>
      <c r="G417" s="7"/>
      <c r="H417" s="6" t="s">
        <v>899</v>
      </c>
      <c r="I417" s="9" t="s">
        <v>2072</v>
      </c>
      <c r="J417" s="10" t="s">
        <v>2073</v>
      </c>
      <c r="K417" s="10"/>
      <c r="L417" s="10" t="s">
        <v>2074</v>
      </c>
    </row>
    <row r="418" ht="198" customHeight="1" spans="1:12">
      <c r="A418" s="6" t="s">
        <v>2075</v>
      </c>
      <c r="B418" s="7" t="s">
        <v>2076</v>
      </c>
      <c r="C418" s="7"/>
      <c r="D418" s="7" t="s">
        <v>2077</v>
      </c>
      <c r="E418" s="7" t="s">
        <v>2078</v>
      </c>
      <c r="F418" s="7"/>
      <c r="G418" s="7"/>
      <c r="H418" s="6" t="s">
        <v>135</v>
      </c>
      <c r="I418" s="9" t="s">
        <v>2079</v>
      </c>
      <c r="J418" s="10" t="s">
        <v>2080</v>
      </c>
      <c r="K418" s="10"/>
      <c r="L418" s="10" t="s">
        <v>2081</v>
      </c>
    </row>
    <row r="419" ht="23" customHeight="1" spans="1:12">
      <c r="A419" s="6" t="s">
        <v>53</v>
      </c>
      <c r="B419" s="7" t="s">
        <v>53</v>
      </c>
      <c r="C419" s="7"/>
      <c r="D419" s="7" t="s">
        <v>40</v>
      </c>
      <c r="E419" s="7" t="s">
        <v>53</v>
      </c>
      <c r="F419" s="7"/>
      <c r="G419" s="7"/>
      <c r="H419" s="6" t="s">
        <v>53</v>
      </c>
      <c r="I419" s="15" t="s">
        <v>53</v>
      </c>
      <c r="J419" s="10" t="s">
        <v>53</v>
      </c>
      <c r="K419" s="10"/>
      <c r="L419" s="10" t="s">
        <v>41</v>
      </c>
    </row>
    <row r="420" ht="36" customHeight="1" spans="1:12">
      <c r="A420" s="6" t="s">
        <v>53</v>
      </c>
      <c r="B420" s="7" t="s">
        <v>53</v>
      </c>
      <c r="C420" s="7"/>
      <c r="D420" s="7" t="s">
        <v>2082</v>
      </c>
      <c r="E420" s="7" t="s">
        <v>53</v>
      </c>
      <c r="F420" s="7"/>
      <c r="G420" s="7"/>
      <c r="H420" s="6" t="s">
        <v>53</v>
      </c>
      <c r="I420" s="15" t="s">
        <v>53</v>
      </c>
      <c r="J420" s="10" t="s">
        <v>53</v>
      </c>
      <c r="K420" s="10"/>
      <c r="L420" s="10" t="s">
        <v>2083</v>
      </c>
    </row>
    <row r="421" ht="51" customHeight="1" spans="1:12">
      <c r="A421" s="6" t="s">
        <v>2084</v>
      </c>
      <c r="B421" s="7" t="s">
        <v>2085</v>
      </c>
      <c r="C421" s="7"/>
      <c r="D421" s="7" t="s">
        <v>94</v>
      </c>
      <c r="E421" s="7" t="s">
        <v>2086</v>
      </c>
      <c r="F421" s="7"/>
      <c r="G421" s="7"/>
      <c r="H421" s="6" t="s">
        <v>80</v>
      </c>
      <c r="I421" s="9" t="s">
        <v>2087</v>
      </c>
      <c r="J421" s="10" t="s">
        <v>2088</v>
      </c>
      <c r="K421" s="10"/>
      <c r="L421" s="10" t="s">
        <v>2089</v>
      </c>
    </row>
    <row r="422" ht="95" customHeight="1" spans="1:12">
      <c r="A422" s="6" t="s">
        <v>2090</v>
      </c>
      <c r="B422" s="7" t="s">
        <v>2091</v>
      </c>
      <c r="C422" s="7"/>
      <c r="D422" s="7" t="s">
        <v>2092</v>
      </c>
      <c r="E422" s="7" t="s">
        <v>2093</v>
      </c>
      <c r="F422" s="7"/>
      <c r="G422" s="7"/>
      <c r="H422" s="6" t="s">
        <v>135</v>
      </c>
      <c r="I422" s="9" t="s">
        <v>2094</v>
      </c>
      <c r="J422" s="10" t="s">
        <v>2095</v>
      </c>
      <c r="K422" s="10"/>
      <c r="L422" s="10" t="s">
        <v>2096</v>
      </c>
    </row>
    <row r="423" ht="23" customHeight="1" spans="1:12">
      <c r="A423" s="6" t="s">
        <v>2097</v>
      </c>
      <c r="B423" s="7" t="s">
        <v>2098</v>
      </c>
      <c r="C423" s="7"/>
      <c r="D423" s="7" t="s">
        <v>94</v>
      </c>
      <c r="E423" s="7" t="s">
        <v>2099</v>
      </c>
      <c r="F423" s="7"/>
      <c r="G423" s="7"/>
      <c r="H423" s="6" t="s">
        <v>80</v>
      </c>
      <c r="I423" s="9" t="s">
        <v>2100</v>
      </c>
      <c r="J423" s="10" t="s">
        <v>2101</v>
      </c>
      <c r="K423" s="10"/>
      <c r="L423" s="10" t="s">
        <v>2102</v>
      </c>
    </row>
    <row r="424" ht="51" customHeight="1" spans="1:12">
      <c r="A424" s="6" t="s">
        <v>53</v>
      </c>
      <c r="B424" s="7" t="s">
        <v>53</v>
      </c>
      <c r="C424" s="7"/>
      <c r="D424" s="7" t="s">
        <v>2103</v>
      </c>
      <c r="E424" s="7" t="s">
        <v>53</v>
      </c>
      <c r="F424" s="7"/>
      <c r="G424" s="7"/>
      <c r="H424" s="6" t="s">
        <v>53</v>
      </c>
      <c r="I424" s="15" t="s">
        <v>53</v>
      </c>
      <c r="J424" s="10" t="s">
        <v>53</v>
      </c>
      <c r="K424" s="10"/>
      <c r="L424" s="10" t="s">
        <v>2104</v>
      </c>
    </row>
    <row r="425" ht="169" customHeight="1" spans="1:12">
      <c r="A425" s="6" t="s">
        <v>2105</v>
      </c>
      <c r="B425" s="7" t="s">
        <v>2106</v>
      </c>
      <c r="C425" s="7"/>
      <c r="D425" s="7" t="s">
        <v>1288</v>
      </c>
      <c r="E425" s="7" t="s">
        <v>2107</v>
      </c>
      <c r="F425" s="7"/>
      <c r="G425" s="7"/>
      <c r="H425" s="6" t="s">
        <v>135</v>
      </c>
      <c r="I425" s="9" t="s">
        <v>2108</v>
      </c>
      <c r="J425" s="10" t="s">
        <v>2109</v>
      </c>
      <c r="K425" s="10"/>
      <c r="L425" s="10" t="s">
        <v>2104</v>
      </c>
    </row>
    <row r="426" ht="36" customHeight="1" spans="1:12">
      <c r="A426" s="6" t="s">
        <v>53</v>
      </c>
      <c r="B426" s="7" t="s">
        <v>53</v>
      </c>
      <c r="C426" s="7"/>
      <c r="D426" s="7" t="s">
        <v>2110</v>
      </c>
      <c r="E426" s="7" t="s">
        <v>53</v>
      </c>
      <c r="F426" s="7"/>
      <c r="G426" s="7"/>
      <c r="H426" s="6" t="s">
        <v>53</v>
      </c>
      <c r="I426" s="15" t="s">
        <v>53</v>
      </c>
      <c r="J426" s="10" t="s">
        <v>53</v>
      </c>
      <c r="K426" s="10"/>
      <c r="L426" s="10" t="s">
        <v>2111</v>
      </c>
    </row>
    <row r="427" ht="213" customHeight="1" spans="1:12">
      <c r="A427" s="6" t="s">
        <v>2112</v>
      </c>
      <c r="B427" s="7" t="s">
        <v>2113</v>
      </c>
      <c r="C427" s="7"/>
      <c r="D427" s="7" t="s">
        <v>1470</v>
      </c>
      <c r="E427" s="7" t="s">
        <v>2114</v>
      </c>
      <c r="F427" s="7"/>
      <c r="G427" s="7"/>
      <c r="H427" s="6" t="s">
        <v>135</v>
      </c>
      <c r="I427" s="9" t="s">
        <v>2115</v>
      </c>
      <c r="J427" s="10" t="s">
        <v>2116</v>
      </c>
      <c r="K427" s="10"/>
      <c r="L427" s="10" t="s">
        <v>2111</v>
      </c>
    </row>
    <row r="428" ht="125" customHeight="1" spans="1:12">
      <c r="A428" s="6" t="s">
        <v>2117</v>
      </c>
      <c r="B428" s="7" t="s">
        <v>2118</v>
      </c>
      <c r="C428" s="7"/>
      <c r="D428" s="7" t="s">
        <v>2119</v>
      </c>
      <c r="E428" s="7" t="s">
        <v>2120</v>
      </c>
      <c r="F428" s="7"/>
      <c r="G428" s="7"/>
      <c r="H428" s="6" t="s">
        <v>135</v>
      </c>
      <c r="I428" s="9" t="s">
        <v>2121</v>
      </c>
      <c r="J428" s="10" t="s">
        <v>2122</v>
      </c>
      <c r="K428" s="10"/>
      <c r="L428" s="10" t="s">
        <v>2123</v>
      </c>
    </row>
    <row r="429" ht="258" customHeight="1" spans="1:12">
      <c r="A429" s="6" t="s">
        <v>2124</v>
      </c>
      <c r="B429" s="7" t="s">
        <v>2125</v>
      </c>
      <c r="C429" s="7"/>
      <c r="D429" s="7" t="s">
        <v>2126</v>
      </c>
      <c r="E429" s="7" t="s">
        <v>2127</v>
      </c>
      <c r="F429" s="7"/>
      <c r="G429" s="7"/>
      <c r="H429" s="6" t="s">
        <v>135</v>
      </c>
      <c r="I429" s="9" t="s">
        <v>2128</v>
      </c>
      <c r="J429" s="10" t="s">
        <v>2129</v>
      </c>
      <c r="K429" s="10"/>
      <c r="L429" s="10" t="s">
        <v>2130</v>
      </c>
    </row>
    <row r="430" ht="183" customHeight="1" spans="1:12">
      <c r="A430" s="6" t="s">
        <v>2131</v>
      </c>
      <c r="B430" s="7" t="s">
        <v>2132</v>
      </c>
      <c r="C430" s="7"/>
      <c r="D430" s="7" t="s">
        <v>2133</v>
      </c>
      <c r="E430" s="7" t="s">
        <v>2134</v>
      </c>
      <c r="F430" s="7"/>
      <c r="G430" s="7"/>
      <c r="H430" s="6" t="s">
        <v>135</v>
      </c>
      <c r="I430" s="9" t="s">
        <v>2135</v>
      </c>
      <c r="J430" s="10" t="s">
        <v>2136</v>
      </c>
      <c r="K430" s="10"/>
      <c r="L430" s="10" t="s">
        <v>2137</v>
      </c>
    </row>
    <row r="431" ht="139" customHeight="1" spans="1:12">
      <c r="A431" s="6" t="s">
        <v>2138</v>
      </c>
      <c r="B431" s="7" t="s">
        <v>2139</v>
      </c>
      <c r="C431" s="7"/>
      <c r="D431" s="7" t="s">
        <v>2140</v>
      </c>
      <c r="E431" s="7" t="s">
        <v>2141</v>
      </c>
      <c r="F431" s="7"/>
      <c r="G431" s="7"/>
      <c r="H431" s="6" t="s">
        <v>998</v>
      </c>
      <c r="I431" s="9" t="s">
        <v>2142</v>
      </c>
      <c r="J431" s="10" t="s">
        <v>2143</v>
      </c>
      <c r="K431" s="10"/>
      <c r="L431" s="10" t="s">
        <v>2144</v>
      </c>
    </row>
    <row r="432" ht="139" customHeight="1" spans="1:12">
      <c r="A432" s="6" t="s">
        <v>2145</v>
      </c>
      <c r="B432" s="7" t="s">
        <v>2146</v>
      </c>
      <c r="C432" s="7"/>
      <c r="D432" s="7" t="s">
        <v>2147</v>
      </c>
      <c r="E432" s="7" t="s">
        <v>2148</v>
      </c>
      <c r="F432" s="7"/>
      <c r="G432" s="7"/>
      <c r="H432" s="6" t="s">
        <v>998</v>
      </c>
      <c r="I432" s="9" t="s">
        <v>2149</v>
      </c>
      <c r="J432" s="10" t="s">
        <v>2150</v>
      </c>
      <c r="K432" s="10"/>
      <c r="L432" s="10" t="s">
        <v>2151</v>
      </c>
    </row>
    <row r="433" ht="139" customHeight="1" spans="1:12">
      <c r="A433" s="6" t="s">
        <v>2152</v>
      </c>
      <c r="B433" s="7" t="s">
        <v>2153</v>
      </c>
      <c r="C433" s="7"/>
      <c r="D433" s="7" t="s">
        <v>2154</v>
      </c>
      <c r="E433" s="7" t="s">
        <v>2155</v>
      </c>
      <c r="F433" s="7"/>
      <c r="G433" s="7"/>
      <c r="H433" s="6" t="s">
        <v>998</v>
      </c>
      <c r="I433" s="9" t="s">
        <v>2142</v>
      </c>
      <c r="J433" s="10" t="s">
        <v>2156</v>
      </c>
      <c r="K433" s="10"/>
      <c r="L433" s="10" t="s">
        <v>2157</v>
      </c>
    </row>
    <row r="434" ht="154" customHeight="1" spans="1:12">
      <c r="A434" s="6" t="s">
        <v>2158</v>
      </c>
      <c r="B434" s="7" t="s">
        <v>2159</v>
      </c>
      <c r="C434" s="7"/>
      <c r="D434" s="7" t="s">
        <v>2160</v>
      </c>
      <c r="E434" s="7" t="s">
        <v>2161</v>
      </c>
      <c r="F434" s="7"/>
      <c r="G434" s="7"/>
      <c r="H434" s="6" t="s">
        <v>998</v>
      </c>
      <c r="I434" s="9" t="s">
        <v>2149</v>
      </c>
      <c r="J434" s="10" t="s">
        <v>2162</v>
      </c>
      <c r="K434" s="10"/>
      <c r="L434" s="10" t="s">
        <v>2163</v>
      </c>
    </row>
    <row r="435" ht="139" customHeight="1" spans="1:12">
      <c r="A435" s="6" t="s">
        <v>2164</v>
      </c>
      <c r="B435" s="7" t="s">
        <v>2165</v>
      </c>
      <c r="C435" s="7"/>
      <c r="D435" s="7" t="s">
        <v>2166</v>
      </c>
      <c r="E435" s="7" t="s">
        <v>2167</v>
      </c>
      <c r="F435" s="7"/>
      <c r="G435" s="7"/>
      <c r="H435" s="6" t="s">
        <v>998</v>
      </c>
      <c r="I435" s="9" t="s">
        <v>2168</v>
      </c>
      <c r="J435" s="10" t="s">
        <v>2169</v>
      </c>
      <c r="K435" s="10"/>
      <c r="L435" s="10" t="s">
        <v>2170</v>
      </c>
    </row>
    <row r="436" ht="183" customHeight="1" spans="1:12">
      <c r="A436" s="6" t="s">
        <v>2171</v>
      </c>
      <c r="B436" s="7" t="s">
        <v>2172</v>
      </c>
      <c r="C436" s="7"/>
      <c r="D436" s="7" t="s">
        <v>2173</v>
      </c>
      <c r="E436" s="7" t="s">
        <v>2174</v>
      </c>
      <c r="F436" s="7"/>
      <c r="G436" s="7"/>
      <c r="H436" s="6" t="s">
        <v>998</v>
      </c>
      <c r="I436" s="9" t="s">
        <v>2175</v>
      </c>
      <c r="J436" s="10" t="s">
        <v>2176</v>
      </c>
      <c r="K436" s="10"/>
      <c r="L436" s="10" t="s">
        <v>2177</v>
      </c>
    </row>
    <row r="437" ht="213" customHeight="1" spans="1:12">
      <c r="A437" s="6" t="s">
        <v>2178</v>
      </c>
      <c r="B437" s="7" t="s">
        <v>2179</v>
      </c>
      <c r="C437" s="7"/>
      <c r="D437" s="7" t="s">
        <v>2180</v>
      </c>
      <c r="E437" s="7" t="s">
        <v>2181</v>
      </c>
      <c r="F437" s="7"/>
      <c r="G437" s="7"/>
      <c r="H437" s="6" t="s">
        <v>998</v>
      </c>
      <c r="I437" s="9" t="s">
        <v>2182</v>
      </c>
      <c r="J437" s="10" t="s">
        <v>2183</v>
      </c>
      <c r="K437" s="10"/>
      <c r="L437" s="10" t="s">
        <v>2184</v>
      </c>
    </row>
    <row r="438" ht="228" customHeight="1" spans="1:12">
      <c r="A438" s="6" t="s">
        <v>2185</v>
      </c>
      <c r="B438" s="7" t="s">
        <v>2186</v>
      </c>
      <c r="C438" s="7"/>
      <c r="D438" s="7" t="s">
        <v>2187</v>
      </c>
      <c r="E438" s="7" t="s">
        <v>2188</v>
      </c>
      <c r="F438" s="7"/>
      <c r="G438" s="7"/>
      <c r="H438" s="6" t="s">
        <v>998</v>
      </c>
      <c r="I438" s="9" t="s">
        <v>2189</v>
      </c>
      <c r="J438" s="10" t="s">
        <v>2190</v>
      </c>
      <c r="K438" s="10"/>
      <c r="L438" s="10" t="s">
        <v>2191</v>
      </c>
    </row>
    <row r="439" ht="213" customHeight="1" spans="1:12">
      <c r="A439" s="6" t="s">
        <v>2192</v>
      </c>
      <c r="B439" s="7" t="s">
        <v>2193</v>
      </c>
      <c r="C439" s="7"/>
      <c r="D439" s="7" t="s">
        <v>2194</v>
      </c>
      <c r="E439" s="7" t="s">
        <v>2195</v>
      </c>
      <c r="F439" s="7"/>
      <c r="G439" s="7"/>
      <c r="H439" s="6" t="s">
        <v>998</v>
      </c>
      <c r="I439" s="9" t="s">
        <v>2196</v>
      </c>
      <c r="J439" s="10" t="s">
        <v>2197</v>
      </c>
      <c r="K439" s="10"/>
      <c r="L439" s="10" t="s">
        <v>2198</v>
      </c>
    </row>
    <row r="440" ht="169" customHeight="1" spans="1:12">
      <c r="A440" s="6" t="s">
        <v>2199</v>
      </c>
      <c r="B440" s="7" t="s">
        <v>2200</v>
      </c>
      <c r="C440" s="7"/>
      <c r="D440" s="7" t="s">
        <v>2201</v>
      </c>
      <c r="E440" s="7" t="s">
        <v>2202</v>
      </c>
      <c r="F440" s="7"/>
      <c r="G440" s="7"/>
      <c r="H440" s="6" t="s">
        <v>998</v>
      </c>
      <c r="I440" s="9" t="s">
        <v>2203</v>
      </c>
      <c r="J440" s="10" t="s">
        <v>2204</v>
      </c>
      <c r="K440" s="10"/>
      <c r="L440" s="10" t="s">
        <v>2205</v>
      </c>
    </row>
    <row r="441" ht="213" customHeight="1" spans="1:12">
      <c r="A441" s="6" t="s">
        <v>2206</v>
      </c>
      <c r="B441" s="7" t="s">
        <v>2207</v>
      </c>
      <c r="C441" s="7"/>
      <c r="D441" s="7" t="s">
        <v>2208</v>
      </c>
      <c r="E441" s="7" t="s">
        <v>2209</v>
      </c>
      <c r="F441" s="7"/>
      <c r="G441" s="7"/>
      <c r="H441" s="6" t="s">
        <v>998</v>
      </c>
      <c r="I441" s="9" t="s">
        <v>2210</v>
      </c>
      <c r="J441" s="10" t="s">
        <v>2211</v>
      </c>
      <c r="K441" s="10"/>
      <c r="L441" s="10" t="s">
        <v>2212</v>
      </c>
    </row>
    <row r="442" ht="139" customHeight="1" spans="1:12">
      <c r="A442" s="6" t="s">
        <v>2213</v>
      </c>
      <c r="B442" s="7" t="s">
        <v>2214</v>
      </c>
      <c r="C442" s="7"/>
      <c r="D442" s="7" t="s">
        <v>2215</v>
      </c>
      <c r="E442" s="7" t="s">
        <v>2216</v>
      </c>
      <c r="F442" s="7"/>
      <c r="G442" s="7"/>
      <c r="H442" s="6" t="s">
        <v>998</v>
      </c>
      <c r="I442" s="9" t="s">
        <v>2217</v>
      </c>
      <c r="J442" s="10" t="s">
        <v>2218</v>
      </c>
      <c r="K442" s="10"/>
      <c r="L442" s="10" t="s">
        <v>2219</v>
      </c>
    </row>
    <row r="443" ht="139" customHeight="1" spans="1:12">
      <c r="A443" s="6" t="s">
        <v>2220</v>
      </c>
      <c r="B443" s="7" t="s">
        <v>2221</v>
      </c>
      <c r="C443" s="7"/>
      <c r="D443" s="7" t="s">
        <v>2222</v>
      </c>
      <c r="E443" s="7" t="s">
        <v>2223</v>
      </c>
      <c r="F443" s="7"/>
      <c r="G443" s="7"/>
      <c r="H443" s="6" t="s">
        <v>579</v>
      </c>
      <c r="I443" s="9" t="s">
        <v>2224</v>
      </c>
      <c r="J443" s="10" t="s">
        <v>2225</v>
      </c>
      <c r="K443" s="10"/>
      <c r="L443" s="10" t="s">
        <v>2226</v>
      </c>
    </row>
    <row r="444" ht="139" customHeight="1" spans="1:12">
      <c r="A444" s="6" t="s">
        <v>2227</v>
      </c>
      <c r="B444" s="7" t="s">
        <v>2228</v>
      </c>
      <c r="C444" s="7"/>
      <c r="D444" s="7" t="s">
        <v>2229</v>
      </c>
      <c r="E444" s="7" t="s">
        <v>2230</v>
      </c>
      <c r="F444" s="7"/>
      <c r="G444" s="7"/>
      <c r="H444" s="6" t="s">
        <v>579</v>
      </c>
      <c r="I444" s="9" t="s">
        <v>2231</v>
      </c>
      <c r="J444" s="10" t="s">
        <v>2232</v>
      </c>
      <c r="K444" s="10"/>
      <c r="L444" s="10" t="s">
        <v>2233</v>
      </c>
    </row>
    <row r="445" ht="139" customHeight="1" spans="1:12">
      <c r="A445" s="6" t="s">
        <v>2234</v>
      </c>
      <c r="B445" s="7" t="s">
        <v>2235</v>
      </c>
      <c r="C445" s="7"/>
      <c r="D445" s="7" t="s">
        <v>2236</v>
      </c>
      <c r="E445" s="7" t="s">
        <v>2237</v>
      </c>
      <c r="F445" s="7"/>
      <c r="G445" s="7"/>
      <c r="H445" s="6" t="s">
        <v>579</v>
      </c>
      <c r="I445" s="9" t="s">
        <v>2238</v>
      </c>
      <c r="J445" s="10" t="s">
        <v>2239</v>
      </c>
      <c r="K445" s="10"/>
      <c r="L445" s="10" t="s">
        <v>2240</v>
      </c>
    </row>
    <row r="446" ht="139" customHeight="1" spans="1:12">
      <c r="A446" s="6" t="s">
        <v>2241</v>
      </c>
      <c r="B446" s="7" t="s">
        <v>2242</v>
      </c>
      <c r="C446" s="7"/>
      <c r="D446" s="7" t="s">
        <v>2243</v>
      </c>
      <c r="E446" s="7" t="s">
        <v>2244</v>
      </c>
      <c r="F446" s="7"/>
      <c r="G446" s="7"/>
      <c r="H446" s="6" t="s">
        <v>579</v>
      </c>
      <c r="I446" s="9" t="s">
        <v>2245</v>
      </c>
      <c r="J446" s="10" t="s">
        <v>2246</v>
      </c>
      <c r="K446" s="10"/>
      <c r="L446" s="10" t="s">
        <v>2247</v>
      </c>
    </row>
    <row r="447" ht="228" customHeight="1" spans="1:12">
      <c r="A447" s="6" t="s">
        <v>2248</v>
      </c>
      <c r="B447" s="7" t="s">
        <v>2249</v>
      </c>
      <c r="C447" s="7"/>
      <c r="D447" s="7" t="s">
        <v>2250</v>
      </c>
      <c r="E447" s="7" t="s">
        <v>2251</v>
      </c>
      <c r="F447" s="7"/>
      <c r="G447" s="7"/>
      <c r="H447" s="6" t="s">
        <v>1791</v>
      </c>
      <c r="I447" s="9" t="s">
        <v>2252</v>
      </c>
      <c r="J447" s="10" t="s">
        <v>2253</v>
      </c>
      <c r="K447" s="10"/>
      <c r="L447" s="10" t="s">
        <v>2254</v>
      </c>
    </row>
    <row r="448" ht="228" customHeight="1" spans="1:12">
      <c r="A448" s="6" t="s">
        <v>2255</v>
      </c>
      <c r="B448" s="7" t="s">
        <v>2256</v>
      </c>
      <c r="C448" s="7"/>
      <c r="D448" s="7" t="s">
        <v>2250</v>
      </c>
      <c r="E448" s="7" t="s">
        <v>2257</v>
      </c>
      <c r="F448" s="7"/>
      <c r="G448" s="7"/>
      <c r="H448" s="6" t="s">
        <v>1791</v>
      </c>
      <c r="I448" s="9" t="s">
        <v>2258</v>
      </c>
      <c r="J448" s="10" t="s">
        <v>2259</v>
      </c>
      <c r="K448" s="10"/>
      <c r="L448" s="10" t="s">
        <v>2260</v>
      </c>
    </row>
    <row r="449" ht="154" customHeight="1" spans="1:12">
      <c r="A449" s="6" t="s">
        <v>2261</v>
      </c>
      <c r="B449" s="7" t="s">
        <v>2262</v>
      </c>
      <c r="C449" s="7"/>
      <c r="D449" s="7" t="s">
        <v>2263</v>
      </c>
      <c r="E449" s="7" t="s">
        <v>2264</v>
      </c>
      <c r="F449" s="7"/>
      <c r="G449" s="7"/>
      <c r="H449" s="6" t="s">
        <v>135</v>
      </c>
      <c r="I449" s="9" t="s">
        <v>2265</v>
      </c>
      <c r="J449" s="10" t="s">
        <v>2266</v>
      </c>
      <c r="K449" s="10"/>
      <c r="L449" s="10" t="s">
        <v>2267</v>
      </c>
    </row>
    <row r="450" ht="346" customHeight="1" spans="1:12">
      <c r="A450" s="6" t="s">
        <v>2268</v>
      </c>
      <c r="B450" s="7" t="s">
        <v>2269</v>
      </c>
      <c r="C450" s="7"/>
      <c r="D450" s="7" t="s">
        <v>2270</v>
      </c>
      <c r="E450" s="7" t="s">
        <v>2271</v>
      </c>
      <c r="F450" s="7"/>
      <c r="G450" s="7"/>
      <c r="H450" s="6" t="s">
        <v>135</v>
      </c>
      <c r="I450" s="9" t="s">
        <v>2265</v>
      </c>
      <c r="J450" s="10" t="s">
        <v>2272</v>
      </c>
      <c r="K450" s="10"/>
      <c r="L450" s="10" t="s">
        <v>2273</v>
      </c>
    </row>
    <row r="451" ht="125" customHeight="1" spans="1:12">
      <c r="A451" s="6" t="s">
        <v>2274</v>
      </c>
      <c r="B451" s="7" t="s">
        <v>2275</v>
      </c>
      <c r="C451" s="7"/>
      <c r="D451" s="7" t="s">
        <v>2276</v>
      </c>
      <c r="E451" s="7" t="s">
        <v>2277</v>
      </c>
      <c r="F451" s="7"/>
      <c r="G451" s="7"/>
      <c r="H451" s="6" t="s">
        <v>135</v>
      </c>
      <c r="I451" s="9" t="s">
        <v>1081</v>
      </c>
      <c r="J451" s="10" t="s">
        <v>2278</v>
      </c>
      <c r="K451" s="10"/>
      <c r="L451" s="10" t="s">
        <v>2279</v>
      </c>
    </row>
    <row r="452" ht="139" customHeight="1" spans="1:12">
      <c r="A452" s="6" t="s">
        <v>2280</v>
      </c>
      <c r="B452" s="7" t="s">
        <v>2281</v>
      </c>
      <c r="C452" s="7"/>
      <c r="D452" s="7" t="s">
        <v>2282</v>
      </c>
      <c r="E452" s="7" t="s">
        <v>2283</v>
      </c>
      <c r="F452" s="7"/>
      <c r="G452" s="7"/>
      <c r="H452" s="6" t="s">
        <v>135</v>
      </c>
      <c r="I452" s="9" t="s">
        <v>2284</v>
      </c>
      <c r="J452" s="10" t="s">
        <v>2285</v>
      </c>
      <c r="K452" s="10"/>
      <c r="L452" s="10" t="s">
        <v>2286</v>
      </c>
    </row>
    <row r="453" ht="110" customHeight="1" spans="1:12">
      <c r="A453" s="6" t="s">
        <v>2287</v>
      </c>
      <c r="B453" s="7" t="s">
        <v>2288</v>
      </c>
      <c r="C453" s="7"/>
      <c r="D453" s="7" t="s">
        <v>2289</v>
      </c>
      <c r="E453" s="7" t="s">
        <v>2290</v>
      </c>
      <c r="F453" s="7"/>
      <c r="G453" s="7"/>
      <c r="H453" s="6" t="s">
        <v>135</v>
      </c>
      <c r="I453" s="9" t="s">
        <v>2291</v>
      </c>
      <c r="J453" s="10" t="s">
        <v>2292</v>
      </c>
      <c r="K453" s="10"/>
      <c r="L453" s="10" t="s">
        <v>2293</v>
      </c>
    </row>
    <row r="454" ht="125" customHeight="1" spans="1:12">
      <c r="A454" s="6" t="s">
        <v>2294</v>
      </c>
      <c r="B454" s="7" t="s">
        <v>2295</v>
      </c>
      <c r="C454" s="7"/>
      <c r="D454" s="7" t="s">
        <v>2296</v>
      </c>
      <c r="E454" s="7" t="s">
        <v>2297</v>
      </c>
      <c r="F454" s="7"/>
      <c r="G454" s="7"/>
      <c r="H454" s="6" t="s">
        <v>135</v>
      </c>
      <c r="I454" s="9" t="s">
        <v>2298</v>
      </c>
      <c r="J454" s="10" t="s">
        <v>2299</v>
      </c>
      <c r="K454" s="10"/>
      <c r="L454" s="10" t="s">
        <v>2300</v>
      </c>
    </row>
    <row r="455" ht="23" customHeight="1" spans="1:12">
      <c r="A455" s="6" t="s">
        <v>2301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10" t="s">
        <v>5</v>
      </c>
    </row>
  </sheetData>
  <mergeCells count="1389">
    <mergeCell ref="J1:L1"/>
    <mergeCell ref="B4:C4"/>
    <mergeCell ref="E4:G4"/>
    <mergeCell ref="J4:K4"/>
    <mergeCell ref="B5:C5"/>
    <mergeCell ref="E5:G5"/>
    <mergeCell ref="J5:K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B15:C15"/>
    <mergeCell ref="E15:G15"/>
    <mergeCell ref="J15:K15"/>
    <mergeCell ref="B16:C16"/>
    <mergeCell ref="E16:G16"/>
    <mergeCell ref="J16:K16"/>
    <mergeCell ref="B17:C17"/>
    <mergeCell ref="E17:G17"/>
    <mergeCell ref="J17:K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B40:C40"/>
    <mergeCell ref="E40:G40"/>
    <mergeCell ref="J40:K40"/>
    <mergeCell ref="B41:C41"/>
    <mergeCell ref="E41:G41"/>
    <mergeCell ref="J41:K41"/>
    <mergeCell ref="B42:C42"/>
    <mergeCell ref="E42:G42"/>
    <mergeCell ref="J42:K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B49:C49"/>
    <mergeCell ref="E49:G49"/>
    <mergeCell ref="J49:K49"/>
    <mergeCell ref="B50:C50"/>
    <mergeCell ref="E50:G50"/>
    <mergeCell ref="J50:K50"/>
    <mergeCell ref="B51:C51"/>
    <mergeCell ref="E51:G51"/>
    <mergeCell ref="J51:K51"/>
    <mergeCell ref="B52:C52"/>
    <mergeCell ref="E52:G52"/>
    <mergeCell ref="J52:K52"/>
    <mergeCell ref="B53:C53"/>
    <mergeCell ref="E53:G53"/>
    <mergeCell ref="J53:K53"/>
    <mergeCell ref="B54:C54"/>
    <mergeCell ref="E54:G54"/>
    <mergeCell ref="J54:K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B58:C58"/>
    <mergeCell ref="E58:G58"/>
    <mergeCell ref="J58:K58"/>
    <mergeCell ref="B59:C59"/>
    <mergeCell ref="E59:G59"/>
    <mergeCell ref="J59:K59"/>
    <mergeCell ref="B60:C60"/>
    <mergeCell ref="E60:G60"/>
    <mergeCell ref="J60:K60"/>
    <mergeCell ref="B61:C61"/>
    <mergeCell ref="E61:G61"/>
    <mergeCell ref="J61:K61"/>
    <mergeCell ref="B62:C62"/>
    <mergeCell ref="E62:G62"/>
    <mergeCell ref="J62:K62"/>
    <mergeCell ref="B63:C63"/>
    <mergeCell ref="E63:G63"/>
    <mergeCell ref="J63:K63"/>
    <mergeCell ref="B64:C64"/>
    <mergeCell ref="E64:G64"/>
    <mergeCell ref="J64:K64"/>
    <mergeCell ref="B65:C65"/>
    <mergeCell ref="E65:G65"/>
    <mergeCell ref="J65:K65"/>
    <mergeCell ref="B66:C66"/>
    <mergeCell ref="E66:G66"/>
    <mergeCell ref="J66:K66"/>
    <mergeCell ref="B67:C67"/>
    <mergeCell ref="E67:G67"/>
    <mergeCell ref="J67:K67"/>
    <mergeCell ref="B68:C68"/>
    <mergeCell ref="E68:G68"/>
    <mergeCell ref="J68:K68"/>
    <mergeCell ref="B69:C69"/>
    <mergeCell ref="E69:G69"/>
    <mergeCell ref="J69:K69"/>
    <mergeCell ref="B70:C70"/>
    <mergeCell ref="E70:G70"/>
    <mergeCell ref="J70:K70"/>
    <mergeCell ref="B71:C71"/>
    <mergeCell ref="E71:G71"/>
    <mergeCell ref="J71:K71"/>
    <mergeCell ref="B72:C72"/>
    <mergeCell ref="E72:G72"/>
    <mergeCell ref="J72:K72"/>
    <mergeCell ref="B73:C73"/>
    <mergeCell ref="E73:G73"/>
    <mergeCell ref="J73:K73"/>
    <mergeCell ref="B74:C74"/>
    <mergeCell ref="E74:G74"/>
    <mergeCell ref="J74:K74"/>
    <mergeCell ref="B75:C75"/>
    <mergeCell ref="E75:G75"/>
    <mergeCell ref="J75:K75"/>
    <mergeCell ref="B76:C76"/>
    <mergeCell ref="E76:G76"/>
    <mergeCell ref="J76:K76"/>
    <mergeCell ref="B77:C77"/>
    <mergeCell ref="E77:G77"/>
    <mergeCell ref="J77:K77"/>
    <mergeCell ref="B78:C78"/>
    <mergeCell ref="E78:G78"/>
    <mergeCell ref="J78:K78"/>
    <mergeCell ref="B79:C79"/>
    <mergeCell ref="E79:G79"/>
    <mergeCell ref="J79:K79"/>
    <mergeCell ref="B80:C80"/>
    <mergeCell ref="E80:G80"/>
    <mergeCell ref="J80:K80"/>
    <mergeCell ref="B81:C81"/>
    <mergeCell ref="E81:G81"/>
    <mergeCell ref="J81:K81"/>
    <mergeCell ref="B82:C82"/>
    <mergeCell ref="E82:G82"/>
    <mergeCell ref="J82:K82"/>
    <mergeCell ref="B83:C83"/>
    <mergeCell ref="E83:G83"/>
    <mergeCell ref="J83:K83"/>
    <mergeCell ref="B84:C84"/>
    <mergeCell ref="E84:G84"/>
    <mergeCell ref="J84:K84"/>
    <mergeCell ref="B85:C85"/>
    <mergeCell ref="E85:G85"/>
    <mergeCell ref="J85:K85"/>
    <mergeCell ref="B86:C86"/>
    <mergeCell ref="E86:G86"/>
    <mergeCell ref="J86:K86"/>
    <mergeCell ref="B87:C87"/>
    <mergeCell ref="E87:G87"/>
    <mergeCell ref="J87:K87"/>
    <mergeCell ref="B88:C88"/>
    <mergeCell ref="E88:G88"/>
    <mergeCell ref="J88:K88"/>
    <mergeCell ref="B89:C89"/>
    <mergeCell ref="E89:G89"/>
    <mergeCell ref="J89:K89"/>
    <mergeCell ref="B90:C90"/>
    <mergeCell ref="E90:G90"/>
    <mergeCell ref="J90:K90"/>
    <mergeCell ref="B91:C91"/>
    <mergeCell ref="E91:G91"/>
    <mergeCell ref="J91:K91"/>
    <mergeCell ref="B92:C92"/>
    <mergeCell ref="E92:G92"/>
    <mergeCell ref="J92:K92"/>
    <mergeCell ref="B93:C93"/>
    <mergeCell ref="E93:G93"/>
    <mergeCell ref="J93:K93"/>
    <mergeCell ref="B94:C94"/>
    <mergeCell ref="E94:G94"/>
    <mergeCell ref="J94:K94"/>
    <mergeCell ref="B95:C95"/>
    <mergeCell ref="E95:G95"/>
    <mergeCell ref="J95:K95"/>
    <mergeCell ref="B114:C114"/>
    <mergeCell ref="E114:G114"/>
    <mergeCell ref="J114:K114"/>
    <mergeCell ref="B115:C115"/>
    <mergeCell ref="E115:G115"/>
    <mergeCell ref="J115:K115"/>
    <mergeCell ref="B116:C116"/>
    <mergeCell ref="E116:G116"/>
    <mergeCell ref="J116:K116"/>
    <mergeCell ref="B117:C117"/>
    <mergeCell ref="E117:G117"/>
    <mergeCell ref="J117:K117"/>
    <mergeCell ref="B118:C118"/>
    <mergeCell ref="E118:G118"/>
    <mergeCell ref="J118:K118"/>
    <mergeCell ref="B127:C127"/>
    <mergeCell ref="E127:G127"/>
    <mergeCell ref="J127:K127"/>
    <mergeCell ref="B128:C128"/>
    <mergeCell ref="E128:G128"/>
    <mergeCell ref="J128:K128"/>
    <mergeCell ref="B129:C129"/>
    <mergeCell ref="E129:G129"/>
    <mergeCell ref="J129:K129"/>
    <mergeCell ref="B130:C130"/>
    <mergeCell ref="E130:G130"/>
    <mergeCell ref="J130:K130"/>
    <mergeCell ref="B131:C131"/>
    <mergeCell ref="E131:G131"/>
    <mergeCell ref="J131:K131"/>
    <mergeCell ref="B132:C132"/>
    <mergeCell ref="E132:G132"/>
    <mergeCell ref="J132:K132"/>
    <mergeCell ref="B133:C133"/>
    <mergeCell ref="E133:G133"/>
    <mergeCell ref="J133:K133"/>
    <mergeCell ref="B134:C134"/>
    <mergeCell ref="E134:G134"/>
    <mergeCell ref="J134:K134"/>
    <mergeCell ref="B135:C135"/>
    <mergeCell ref="E135:G135"/>
    <mergeCell ref="J135:K135"/>
    <mergeCell ref="B136:C136"/>
    <mergeCell ref="E136:G136"/>
    <mergeCell ref="J136:K136"/>
    <mergeCell ref="B137:C137"/>
    <mergeCell ref="E137:G137"/>
    <mergeCell ref="J137:K137"/>
    <mergeCell ref="B138:C138"/>
    <mergeCell ref="E138:G138"/>
    <mergeCell ref="J138:K138"/>
    <mergeCell ref="B139:C139"/>
    <mergeCell ref="E139:G139"/>
    <mergeCell ref="J139:K139"/>
    <mergeCell ref="B140:C140"/>
    <mergeCell ref="E140:G140"/>
    <mergeCell ref="J140:K140"/>
    <mergeCell ref="B141:C141"/>
    <mergeCell ref="E141:G141"/>
    <mergeCell ref="J141:K141"/>
    <mergeCell ref="B142:C142"/>
    <mergeCell ref="E142:G142"/>
    <mergeCell ref="J142:K142"/>
    <mergeCell ref="B143:C143"/>
    <mergeCell ref="E143:G143"/>
    <mergeCell ref="J143:K143"/>
    <mergeCell ref="B144:C144"/>
    <mergeCell ref="E144:G144"/>
    <mergeCell ref="J144:K144"/>
    <mergeCell ref="B145:C145"/>
    <mergeCell ref="E145:G145"/>
    <mergeCell ref="J145:K145"/>
    <mergeCell ref="B146:C146"/>
    <mergeCell ref="E146:G146"/>
    <mergeCell ref="J146:K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B150:C150"/>
    <mergeCell ref="E150:G150"/>
    <mergeCell ref="J150:K150"/>
    <mergeCell ref="B151:C151"/>
    <mergeCell ref="E151:G151"/>
    <mergeCell ref="J151:K151"/>
    <mergeCell ref="B152:C152"/>
    <mergeCell ref="E152:G152"/>
    <mergeCell ref="J152:K152"/>
    <mergeCell ref="B153:C153"/>
    <mergeCell ref="E153:G153"/>
    <mergeCell ref="J153:K153"/>
    <mergeCell ref="B154:C154"/>
    <mergeCell ref="E154:G154"/>
    <mergeCell ref="J154:K154"/>
    <mergeCell ref="B155:C155"/>
    <mergeCell ref="E155:G155"/>
    <mergeCell ref="J155:K155"/>
    <mergeCell ref="B156:C156"/>
    <mergeCell ref="E156:G156"/>
    <mergeCell ref="J156:K156"/>
    <mergeCell ref="B157:C157"/>
    <mergeCell ref="E157:G157"/>
    <mergeCell ref="J157:K157"/>
    <mergeCell ref="B158:C158"/>
    <mergeCell ref="E158:G158"/>
    <mergeCell ref="J158:K158"/>
    <mergeCell ref="B159:C159"/>
    <mergeCell ref="E159:G159"/>
    <mergeCell ref="J159:K159"/>
    <mergeCell ref="B160:C160"/>
    <mergeCell ref="E160:G160"/>
    <mergeCell ref="J160:K160"/>
    <mergeCell ref="B161:C161"/>
    <mergeCell ref="E161:G161"/>
    <mergeCell ref="J161:K161"/>
    <mergeCell ref="B162:C162"/>
    <mergeCell ref="E162:G162"/>
    <mergeCell ref="J162:K162"/>
    <mergeCell ref="B163:C163"/>
    <mergeCell ref="E163:G163"/>
    <mergeCell ref="J163:K163"/>
    <mergeCell ref="B164:C164"/>
    <mergeCell ref="E164:G164"/>
    <mergeCell ref="J164:K164"/>
    <mergeCell ref="B165:C165"/>
    <mergeCell ref="E165:G165"/>
    <mergeCell ref="J165:K165"/>
    <mergeCell ref="B166:C166"/>
    <mergeCell ref="E166:G166"/>
    <mergeCell ref="J166:K166"/>
    <mergeCell ref="B167:C167"/>
    <mergeCell ref="E167:G167"/>
    <mergeCell ref="J167:K167"/>
    <mergeCell ref="B168:C168"/>
    <mergeCell ref="E168:G168"/>
    <mergeCell ref="J168:K168"/>
    <mergeCell ref="B169:C169"/>
    <mergeCell ref="E169:G169"/>
    <mergeCell ref="J169:K169"/>
    <mergeCell ref="B170:C170"/>
    <mergeCell ref="E170:G170"/>
    <mergeCell ref="J170:K170"/>
    <mergeCell ref="B171:C171"/>
    <mergeCell ref="E171:G171"/>
    <mergeCell ref="J171:K171"/>
    <mergeCell ref="B172:C172"/>
    <mergeCell ref="E172:G172"/>
    <mergeCell ref="J172:K172"/>
    <mergeCell ref="B173:C173"/>
    <mergeCell ref="E173:G173"/>
    <mergeCell ref="J173:K173"/>
    <mergeCell ref="B174:C174"/>
    <mergeCell ref="E174:G174"/>
    <mergeCell ref="J174:K174"/>
    <mergeCell ref="B175:C175"/>
    <mergeCell ref="E175:G175"/>
    <mergeCell ref="J175:K175"/>
    <mergeCell ref="B176:C176"/>
    <mergeCell ref="E176:G176"/>
    <mergeCell ref="J176:K176"/>
    <mergeCell ref="B177:C177"/>
    <mergeCell ref="E177:G177"/>
    <mergeCell ref="J177:K177"/>
    <mergeCell ref="B178:C178"/>
    <mergeCell ref="E178:G178"/>
    <mergeCell ref="J178:K178"/>
    <mergeCell ref="B179:C179"/>
    <mergeCell ref="E179:G179"/>
    <mergeCell ref="J179:K179"/>
    <mergeCell ref="B180:C180"/>
    <mergeCell ref="E180:G180"/>
    <mergeCell ref="J180:K180"/>
    <mergeCell ref="B181:C181"/>
    <mergeCell ref="E181:G181"/>
    <mergeCell ref="J181:K181"/>
    <mergeCell ref="B182:C182"/>
    <mergeCell ref="E182:G182"/>
    <mergeCell ref="J182:K182"/>
    <mergeCell ref="B183:C183"/>
    <mergeCell ref="E183:G183"/>
    <mergeCell ref="J183:K183"/>
    <mergeCell ref="B184:C184"/>
    <mergeCell ref="E184:G184"/>
    <mergeCell ref="J184:K184"/>
    <mergeCell ref="B185:C185"/>
    <mergeCell ref="E185:G185"/>
    <mergeCell ref="J185:K185"/>
    <mergeCell ref="B186:C186"/>
    <mergeCell ref="E186:G186"/>
    <mergeCell ref="J186:K186"/>
    <mergeCell ref="B187:C187"/>
    <mergeCell ref="E187:G187"/>
    <mergeCell ref="J187:K187"/>
    <mergeCell ref="B188:C188"/>
    <mergeCell ref="E188:G188"/>
    <mergeCell ref="J188:K188"/>
    <mergeCell ref="B189:C189"/>
    <mergeCell ref="E189:G189"/>
    <mergeCell ref="J189:K189"/>
    <mergeCell ref="B190:C190"/>
    <mergeCell ref="E190:G190"/>
    <mergeCell ref="J190:K190"/>
    <mergeCell ref="B191:C191"/>
    <mergeCell ref="E191:G191"/>
    <mergeCell ref="J191:K191"/>
    <mergeCell ref="B192:C192"/>
    <mergeCell ref="E192:G192"/>
    <mergeCell ref="J192:K192"/>
    <mergeCell ref="B193:C193"/>
    <mergeCell ref="E193:G193"/>
    <mergeCell ref="J193:K193"/>
    <mergeCell ref="B194:C194"/>
    <mergeCell ref="E194:G194"/>
    <mergeCell ref="J194:K194"/>
    <mergeCell ref="B195:C195"/>
    <mergeCell ref="E195:G195"/>
    <mergeCell ref="J195:K195"/>
    <mergeCell ref="B196:C196"/>
    <mergeCell ref="E196:G196"/>
    <mergeCell ref="J196:K196"/>
    <mergeCell ref="B197:C197"/>
    <mergeCell ref="E197:G197"/>
    <mergeCell ref="J197:K197"/>
    <mergeCell ref="B198:C198"/>
    <mergeCell ref="E198:G198"/>
    <mergeCell ref="J198:K198"/>
    <mergeCell ref="B199:C199"/>
    <mergeCell ref="E199:G199"/>
    <mergeCell ref="J199:K199"/>
    <mergeCell ref="B200:C200"/>
    <mergeCell ref="E200:G200"/>
    <mergeCell ref="J200:K200"/>
    <mergeCell ref="B201:C201"/>
    <mergeCell ref="E201:G201"/>
    <mergeCell ref="J201:K201"/>
    <mergeCell ref="B202:C202"/>
    <mergeCell ref="E202:G202"/>
    <mergeCell ref="J202:K202"/>
    <mergeCell ref="B203:C203"/>
    <mergeCell ref="E203:G203"/>
    <mergeCell ref="J203:K203"/>
    <mergeCell ref="B204:C204"/>
    <mergeCell ref="E204:G204"/>
    <mergeCell ref="J204:K204"/>
    <mergeCell ref="B205:C205"/>
    <mergeCell ref="E205:G205"/>
    <mergeCell ref="J205:K205"/>
    <mergeCell ref="B206:C206"/>
    <mergeCell ref="E206:G206"/>
    <mergeCell ref="J206:K206"/>
    <mergeCell ref="B207:C207"/>
    <mergeCell ref="E207:G207"/>
    <mergeCell ref="J207:K207"/>
    <mergeCell ref="B208:C208"/>
    <mergeCell ref="E208:G208"/>
    <mergeCell ref="J208:K208"/>
    <mergeCell ref="B209:C209"/>
    <mergeCell ref="E209:G209"/>
    <mergeCell ref="J209:K209"/>
    <mergeCell ref="B210:C210"/>
    <mergeCell ref="E210:G210"/>
    <mergeCell ref="J210:K210"/>
    <mergeCell ref="B211:C211"/>
    <mergeCell ref="E211:G211"/>
    <mergeCell ref="J211:K211"/>
    <mergeCell ref="B212:C212"/>
    <mergeCell ref="E212:G212"/>
    <mergeCell ref="J212:K212"/>
    <mergeCell ref="B213:C213"/>
    <mergeCell ref="E213:G213"/>
    <mergeCell ref="J213:K213"/>
    <mergeCell ref="B214:C214"/>
    <mergeCell ref="E214:G214"/>
    <mergeCell ref="J214:K214"/>
    <mergeCell ref="B215:C215"/>
    <mergeCell ref="E215:G215"/>
    <mergeCell ref="J215:K215"/>
    <mergeCell ref="B216:C216"/>
    <mergeCell ref="E216:G216"/>
    <mergeCell ref="J216:K216"/>
    <mergeCell ref="B217:C217"/>
    <mergeCell ref="E217:G217"/>
    <mergeCell ref="J217:K217"/>
    <mergeCell ref="B218:C218"/>
    <mergeCell ref="E218:G218"/>
    <mergeCell ref="J218:K218"/>
    <mergeCell ref="B219:C219"/>
    <mergeCell ref="E219:G219"/>
    <mergeCell ref="J219:K219"/>
    <mergeCell ref="B220:C220"/>
    <mergeCell ref="E220:G220"/>
    <mergeCell ref="J220:K220"/>
    <mergeCell ref="B221:C221"/>
    <mergeCell ref="E221:G221"/>
    <mergeCell ref="J221:K221"/>
    <mergeCell ref="B222:C222"/>
    <mergeCell ref="E222:G222"/>
    <mergeCell ref="J222:K222"/>
    <mergeCell ref="B223:C223"/>
    <mergeCell ref="E223:G223"/>
    <mergeCell ref="J223:K223"/>
    <mergeCell ref="B224:C224"/>
    <mergeCell ref="E224:G224"/>
    <mergeCell ref="J224:K224"/>
    <mergeCell ref="B225:C225"/>
    <mergeCell ref="E225:G225"/>
    <mergeCell ref="J225:K225"/>
    <mergeCell ref="B226:C226"/>
    <mergeCell ref="E226:G226"/>
    <mergeCell ref="J226:K226"/>
    <mergeCell ref="B227:C227"/>
    <mergeCell ref="E227:G227"/>
    <mergeCell ref="J227:K227"/>
    <mergeCell ref="B228:C228"/>
    <mergeCell ref="E228:G228"/>
    <mergeCell ref="J228:K228"/>
    <mergeCell ref="B229:C229"/>
    <mergeCell ref="E229:G229"/>
    <mergeCell ref="J229:K229"/>
    <mergeCell ref="B230:C230"/>
    <mergeCell ref="E230:G230"/>
    <mergeCell ref="J230:K230"/>
    <mergeCell ref="B231:C231"/>
    <mergeCell ref="E231:G231"/>
    <mergeCell ref="J231:K231"/>
    <mergeCell ref="B232:C232"/>
    <mergeCell ref="E232:G232"/>
    <mergeCell ref="J232:K232"/>
    <mergeCell ref="B233:C233"/>
    <mergeCell ref="E233:G233"/>
    <mergeCell ref="J233:K233"/>
    <mergeCell ref="B234:C234"/>
    <mergeCell ref="E234:G234"/>
    <mergeCell ref="J234:K234"/>
    <mergeCell ref="B235:C235"/>
    <mergeCell ref="E235:G235"/>
    <mergeCell ref="J235:K235"/>
    <mergeCell ref="B236:C236"/>
    <mergeCell ref="E236:G236"/>
    <mergeCell ref="J236:K236"/>
    <mergeCell ref="B237:C237"/>
    <mergeCell ref="E237:G237"/>
    <mergeCell ref="J237:K237"/>
    <mergeCell ref="B238:C238"/>
    <mergeCell ref="E238:G238"/>
    <mergeCell ref="J238:K238"/>
    <mergeCell ref="B239:C239"/>
    <mergeCell ref="E239:G239"/>
    <mergeCell ref="J239:K239"/>
    <mergeCell ref="B240:C240"/>
    <mergeCell ref="E240:G240"/>
    <mergeCell ref="J240:K240"/>
    <mergeCell ref="B241:C241"/>
    <mergeCell ref="E241:G241"/>
    <mergeCell ref="J241:K241"/>
    <mergeCell ref="B242:C242"/>
    <mergeCell ref="E242:G242"/>
    <mergeCell ref="J242:K242"/>
    <mergeCell ref="B243:C243"/>
    <mergeCell ref="E243:G243"/>
    <mergeCell ref="J243:K243"/>
    <mergeCell ref="B244:C244"/>
    <mergeCell ref="E244:G244"/>
    <mergeCell ref="J244:K244"/>
    <mergeCell ref="B245:C245"/>
    <mergeCell ref="E245:G245"/>
    <mergeCell ref="J245:K245"/>
    <mergeCell ref="B246:C246"/>
    <mergeCell ref="E246:G246"/>
    <mergeCell ref="J246:K246"/>
    <mergeCell ref="B247:C247"/>
    <mergeCell ref="E247:G247"/>
    <mergeCell ref="J247:K247"/>
    <mergeCell ref="B248:C248"/>
    <mergeCell ref="E248:G248"/>
    <mergeCell ref="J248:K248"/>
    <mergeCell ref="B249:C249"/>
    <mergeCell ref="E249:G249"/>
    <mergeCell ref="J249:K249"/>
    <mergeCell ref="B250:C250"/>
    <mergeCell ref="E250:G250"/>
    <mergeCell ref="J250:K250"/>
    <mergeCell ref="B251:C251"/>
    <mergeCell ref="E251:G251"/>
    <mergeCell ref="J251:K251"/>
    <mergeCell ref="B252:C252"/>
    <mergeCell ref="E252:G252"/>
    <mergeCell ref="J252:K252"/>
    <mergeCell ref="B253:C253"/>
    <mergeCell ref="E253:G253"/>
    <mergeCell ref="J253:K253"/>
    <mergeCell ref="B254:C254"/>
    <mergeCell ref="E254:G254"/>
    <mergeCell ref="J254:K254"/>
    <mergeCell ref="B255:C255"/>
    <mergeCell ref="E255:G255"/>
    <mergeCell ref="J255:K255"/>
    <mergeCell ref="B256:C256"/>
    <mergeCell ref="E256:G256"/>
    <mergeCell ref="J256:K256"/>
    <mergeCell ref="B257:C257"/>
    <mergeCell ref="E257:G257"/>
    <mergeCell ref="J257:K257"/>
    <mergeCell ref="B258:C258"/>
    <mergeCell ref="E258:G258"/>
    <mergeCell ref="J258:K258"/>
    <mergeCell ref="B259:C259"/>
    <mergeCell ref="E259:G259"/>
    <mergeCell ref="J259:K259"/>
    <mergeCell ref="B260:C260"/>
    <mergeCell ref="E260:G260"/>
    <mergeCell ref="J260:K260"/>
    <mergeCell ref="B261:C261"/>
    <mergeCell ref="E261:G261"/>
    <mergeCell ref="J261:K261"/>
    <mergeCell ref="B262:C262"/>
    <mergeCell ref="E262:G262"/>
    <mergeCell ref="J262:K262"/>
    <mergeCell ref="B263:C263"/>
    <mergeCell ref="E263:G263"/>
    <mergeCell ref="J263:K263"/>
    <mergeCell ref="B264:C264"/>
    <mergeCell ref="E264:G264"/>
    <mergeCell ref="J264:K264"/>
    <mergeCell ref="B265:C265"/>
    <mergeCell ref="E265:G265"/>
    <mergeCell ref="J265:K265"/>
    <mergeCell ref="B266:C266"/>
    <mergeCell ref="E266:G266"/>
    <mergeCell ref="J266:K266"/>
    <mergeCell ref="B267:C267"/>
    <mergeCell ref="E267:G267"/>
    <mergeCell ref="J267:K267"/>
    <mergeCell ref="B268:C268"/>
    <mergeCell ref="E268:G268"/>
    <mergeCell ref="J268:K268"/>
    <mergeCell ref="B269:C269"/>
    <mergeCell ref="E269:G269"/>
    <mergeCell ref="J269:K269"/>
    <mergeCell ref="B270:C270"/>
    <mergeCell ref="E270:G270"/>
    <mergeCell ref="J270:K270"/>
    <mergeCell ref="B271:C271"/>
    <mergeCell ref="E271:G271"/>
    <mergeCell ref="J271:K271"/>
    <mergeCell ref="B272:C272"/>
    <mergeCell ref="E272:G272"/>
    <mergeCell ref="J272:K272"/>
    <mergeCell ref="B273:C273"/>
    <mergeCell ref="E273:G273"/>
    <mergeCell ref="J273:K273"/>
    <mergeCell ref="B274:C274"/>
    <mergeCell ref="E274:G274"/>
    <mergeCell ref="J274:K274"/>
    <mergeCell ref="B275:C275"/>
    <mergeCell ref="E275:G275"/>
    <mergeCell ref="J275:K275"/>
    <mergeCell ref="B276:C276"/>
    <mergeCell ref="E276:G276"/>
    <mergeCell ref="J276:K276"/>
    <mergeCell ref="B277:C277"/>
    <mergeCell ref="E277:G277"/>
    <mergeCell ref="J277:K277"/>
    <mergeCell ref="B278:C278"/>
    <mergeCell ref="E278:G278"/>
    <mergeCell ref="J278:K278"/>
    <mergeCell ref="B279:C279"/>
    <mergeCell ref="E279:G279"/>
    <mergeCell ref="J279:K279"/>
    <mergeCell ref="B280:C280"/>
    <mergeCell ref="E280:G280"/>
    <mergeCell ref="J280:K280"/>
    <mergeCell ref="B281:C281"/>
    <mergeCell ref="E281:G281"/>
    <mergeCell ref="J281:K281"/>
    <mergeCell ref="B282:C282"/>
    <mergeCell ref="E282:G282"/>
    <mergeCell ref="J282:K282"/>
    <mergeCell ref="B283:C283"/>
    <mergeCell ref="E283:G283"/>
    <mergeCell ref="J283:K283"/>
    <mergeCell ref="B284:C284"/>
    <mergeCell ref="E284:G284"/>
    <mergeCell ref="J284:K284"/>
    <mergeCell ref="B285:C285"/>
    <mergeCell ref="E285:G285"/>
    <mergeCell ref="J285:K285"/>
    <mergeCell ref="B286:C286"/>
    <mergeCell ref="E286:G286"/>
    <mergeCell ref="J286:K286"/>
    <mergeCell ref="B287:C287"/>
    <mergeCell ref="E287:G287"/>
    <mergeCell ref="J287:K287"/>
    <mergeCell ref="B288:C288"/>
    <mergeCell ref="E288:G288"/>
    <mergeCell ref="J288:K288"/>
    <mergeCell ref="B289:C289"/>
    <mergeCell ref="E289:G289"/>
    <mergeCell ref="J289:K289"/>
    <mergeCell ref="B290:C290"/>
    <mergeCell ref="E290:G290"/>
    <mergeCell ref="J290:K290"/>
    <mergeCell ref="B291:C291"/>
    <mergeCell ref="E291:G291"/>
    <mergeCell ref="J291:K291"/>
    <mergeCell ref="B292:C292"/>
    <mergeCell ref="E292:G292"/>
    <mergeCell ref="J292:K292"/>
    <mergeCell ref="B293:C293"/>
    <mergeCell ref="E293:G293"/>
    <mergeCell ref="J293:K293"/>
    <mergeCell ref="B294:C294"/>
    <mergeCell ref="E294:G294"/>
    <mergeCell ref="J294:K294"/>
    <mergeCell ref="B295:C295"/>
    <mergeCell ref="E295:G295"/>
    <mergeCell ref="J295:K295"/>
    <mergeCell ref="B296:C296"/>
    <mergeCell ref="E296:G296"/>
    <mergeCell ref="J296:K296"/>
    <mergeCell ref="B297:C297"/>
    <mergeCell ref="E297:G297"/>
    <mergeCell ref="J297:K297"/>
    <mergeCell ref="B298:C298"/>
    <mergeCell ref="E298:G298"/>
    <mergeCell ref="J298:K298"/>
    <mergeCell ref="B299:C299"/>
    <mergeCell ref="E299:G299"/>
    <mergeCell ref="J299:K299"/>
    <mergeCell ref="B300:C300"/>
    <mergeCell ref="E300:G300"/>
    <mergeCell ref="J300:K300"/>
    <mergeCell ref="B301:C301"/>
    <mergeCell ref="E301:G301"/>
    <mergeCell ref="J301:K301"/>
    <mergeCell ref="B302:C302"/>
    <mergeCell ref="E302:G302"/>
    <mergeCell ref="J302:K302"/>
    <mergeCell ref="B303:C303"/>
    <mergeCell ref="E303:G303"/>
    <mergeCell ref="J303:K303"/>
    <mergeCell ref="B304:C304"/>
    <mergeCell ref="E304:G304"/>
    <mergeCell ref="J304:K304"/>
    <mergeCell ref="B305:C305"/>
    <mergeCell ref="E305:G305"/>
    <mergeCell ref="J305:K305"/>
    <mergeCell ref="B306:C306"/>
    <mergeCell ref="E306:G306"/>
    <mergeCell ref="J306:K306"/>
    <mergeCell ref="B307:C307"/>
    <mergeCell ref="E307:G307"/>
    <mergeCell ref="J307:K307"/>
    <mergeCell ref="B308:C308"/>
    <mergeCell ref="E308:G308"/>
    <mergeCell ref="J308:K308"/>
    <mergeCell ref="B309:C309"/>
    <mergeCell ref="E309:G309"/>
    <mergeCell ref="J309:K309"/>
    <mergeCell ref="B310:C310"/>
    <mergeCell ref="E310:G310"/>
    <mergeCell ref="J310:K310"/>
    <mergeCell ref="B311:C311"/>
    <mergeCell ref="E311:G311"/>
    <mergeCell ref="J311:K311"/>
    <mergeCell ref="B312:C312"/>
    <mergeCell ref="E312:G312"/>
    <mergeCell ref="J312:K312"/>
    <mergeCell ref="B313:C313"/>
    <mergeCell ref="E313:G313"/>
    <mergeCell ref="J313:K313"/>
    <mergeCell ref="B314:C314"/>
    <mergeCell ref="E314:G314"/>
    <mergeCell ref="J314:K314"/>
    <mergeCell ref="B315:C315"/>
    <mergeCell ref="E315:G315"/>
    <mergeCell ref="J315:K315"/>
    <mergeCell ref="B316:C316"/>
    <mergeCell ref="E316:G316"/>
    <mergeCell ref="J316:K316"/>
    <mergeCell ref="B317:C317"/>
    <mergeCell ref="E317:G317"/>
    <mergeCell ref="J317:K317"/>
    <mergeCell ref="B318:C318"/>
    <mergeCell ref="E318:G318"/>
    <mergeCell ref="J318:K318"/>
    <mergeCell ref="B319:C319"/>
    <mergeCell ref="E319:G319"/>
    <mergeCell ref="J319:K319"/>
    <mergeCell ref="B320:C320"/>
    <mergeCell ref="E320:G320"/>
    <mergeCell ref="J320:K320"/>
    <mergeCell ref="B321:C321"/>
    <mergeCell ref="E321:G321"/>
    <mergeCell ref="J321:K321"/>
    <mergeCell ref="B322:C322"/>
    <mergeCell ref="E322:G322"/>
    <mergeCell ref="J322:K322"/>
    <mergeCell ref="B323:C323"/>
    <mergeCell ref="E323:G323"/>
    <mergeCell ref="J323:K323"/>
    <mergeCell ref="B324:C324"/>
    <mergeCell ref="E324:G324"/>
    <mergeCell ref="J324:K324"/>
    <mergeCell ref="B325:C325"/>
    <mergeCell ref="E325:G325"/>
    <mergeCell ref="J325:K325"/>
    <mergeCell ref="B326:C326"/>
    <mergeCell ref="E326:G326"/>
    <mergeCell ref="J326:K326"/>
    <mergeCell ref="B327:C327"/>
    <mergeCell ref="E327:G327"/>
    <mergeCell ref="J327:K327"/>
    <mergeCell ref="B328:C328"/>
    <mergeCell ref="E328:G328"/>
    <mergeCell ref="J328:K328"/>
    <mergeCell ref="B329:C329"/>
    <mergeCell ref="E329:G329"/>
    <mergeCell ref="J329:K329"/>
    <mergeCell ref="B330:C330"/>
    <mergeCell ref="E330:G330"/>
    <mergeCell ref="J330:K330"/>
    <mergeCell ref="B331:C331"/>
    <mergeCell ref="E331:G331"/>
    <mergeCell ref="J331:K331"/>
    <mergeCell ref="B332:C332"/>
    <mergeCell ref="E332:G332"/>
    <mergeCell ref="J332:K332"/>
    <mergeCell ref="B333:C333"/>
    <mergeCell ref="E333:G333"/>
    <mergeCell ref="J333:K333"/>
    <mergeCell ref="B334:C334"/>
    <mergeCell ref="E334:G334"/>
    <mergeCell ref="J334:K334"/>
    <mergeCell ref="B335:C335"/>
    <mergeCell ref="E335:G335"/>
    <mergeCell ref="J335:K335"/>
    <mergeCell ref="B336:C336"/>
    <mergeCell ref="E336:G336"/>
    <mergeCell ref="J336:K336"/>
    <mergeCell ref="B337:C337"/>
    <mergeCell ref="E337:G337"/>
    <mergeCell ref="J337:K337"/>
    <mergeCell ref="B338:C338"/>
    <mergeCell ref="E338:G338"/>
    <mergeCell ref="J338:K338"/>
    <mergeCell ref="B339:C339"/>
    <mergeCell ref="E339:G339"/>
    <mergeCell ref="J339:K339"/>
    <mergeCell ref="B340:C340"/>
    <mergeCell ref="E340:G340"/>
    <mergeCell ref="J340:K340"/>
    <mergeCell ref="B341:C341"/>
    <mergeCell ref="E341:G341"/>
    <mergeCell ref="J341:K341"/>
    <mergeCell ref="B342:C342"/>
    <mergeCell ref="E342:G342"/>
    <mergeCell ref="J342:K342"/>
    <mergeCell ref="B343:C343"/>
    <mergeCell ref="E343:G343"/>
    <mergeCell ref="J343:K343"/>
    <mergeCell ref="B344:C344"/>
    <mergeCell ref="E344:G344"/>
    <mergeCell ref="J344:K344"/>
    <mergeCell ref="B345:C345"/>
    <mergeCell ref="E345:G345"/>
    <mergeCell ref="J345:K345"/>
    <mergeCell ref="B346:C346"/>
    <mergeCell ref="E346:G346"/>
    <mergeCell ref="J346:K346"/>
    <mergeCell ref="B347:C347"/>
    <mergeCell ref="E347:G347"/>
    <mergeCell ref="J347:K347"/>
    <mergeCell ref="B348:C348"/>
    <mergeCell ref="E348:G348"/>
    <mergeCell ref="J348:K348"/>
    <mergeCell ref="B349:C349"/>
    <mergeCell ref="E349:G349"/>
    <mergeCell ref="J349:K349"/>
    <mergeCell ref="B350:C350"/>
    <mergeCell ref="E350:G350"/>
    <mergeCell ref="J350:K350"/>
    <mergeCell ref="B351:C351"/>
    <mergeCell ref="E351:G351"/>
    <mergeCell ref="J351:K351"/>
    <mergeCell ref="B352:C352"/>
    <mergeCell ref="E352:G352"/>
    <mergeCell ref="J352:K352"/>
    <mergeCell ref="B353:C353"/>
    <mergeCell ref="E353:G353"/>
    <mergeCell ref="J353:K353"/>
    <mergeCell ref="B354:C354"/>
    <mergeCell ref="E354:G354"/>
    <mergeCell ref="J354:K354"/>
    <mergeCell ref="B355:C355"/>
    <mergeCell ref="E355:G355"/>
    <mergeCell ref="J355:K355"/>
    <mergeCell ref="B356:C356"/>
    <mergeCell ref="E356:G356"/>
    <mergeCell ref="J356:K356"/>
    <mergeCell ref="B357:C357"/>
    <mergeCell ref="E357:G357"/>
    <mergeCell ref="J357:K357"/>
    <mergeCell ref="B358:C358"/>
    <mergeCell ref="E358:G358"/>
    <mergeCell ref="J358:K358"/>
    <mergeCell ref="B359:C359"/>
    <mergeCell ref="E359:G359"/>
    <mergeCell ref="J359:K359"/>
    <mergeCell ref="B360:C360"/>
    <mergeCell ref="E360:G360"/>
    <mergeCell ref="J360:K360"/>
    <mergeCell ref="B361:C361"/>
    <mergeCell ref="E361:G361"/>
    <mergeCell ref="J361:K361"/>
    <mergeCell ref="B362:C362"/>
    <mergeCell ref="E362:G362"/>
    <mergeCell ref="J362:K362"/>
    <mergeCell ref="B363:C363"/>
    <mergeCell ref="E363:G363"/>
    <mergeCell ref="J363:K363"/>
    <mergeCell ref="B364:C364"/>
    <mergeCell ref="E364:G364"/>
    <mergeCell ref="J364:K364"/>
    <mergeCell ref="B365:C365"/>
    <mergeCell ref="E365:G365"/>
    <mergeCell ref="J365:K365"/>
    <mergeCell ref="B366:C366"/>
    <mergeCell ref="E366:G366"/>
    <mergeCell ref="J366:K366"/>
    <mergeCell ref="B367:C367"/>
    <mergeCell ref="E367:G367"/>
    <mergeCell ref="J367:K367"/>
    <mergeCell ref="B368:C368"/>
    <mergeCell ref="E368:G368"/>
    <mergeCell ref="J368:K368"/>
    <mergeCell ref="B369:C369"/>
    <mergeCell ref="E369:G369"/>
    <mergeCell ref="J369:K369"/>
    <mergeCell ref="B370:C370"/>
    <mergeCell ref="E370:G370"/>
    <mergeCell ref="J370:K370"/>
    <mergeCell ref="B371:C371"/>
    <mergeCell ref="E371:G371"/>
    <mergeCell ref="J371:K371"/>
    <mergeCell ref="B372:C372"/>
    <mergeCell ref="E372:G372"/>
    <mergeCell ref="J372:K372"/>
    <mergeCell ref="B373:C373"/>
    <mergeCell ref="E373:G373"/>
    <mergeCell ref="J373:K373"/>
    <mergeCell ref="B374:C374"/>
    <mergeCell ref="E374:G374"/>
    <mergeCell ref="J374:K374"/>
    <mergeCell ref="B375:C375"/>
    <mergeCell ref="E375:G375"/>
    <mergeCell ref="J375:K375"/>
    <mergeCell ref="B376:C376"/>
    <mergeCell ref="E376:G376"/>
    <mergeCell ref="J376:K376"/>
    <mergeCell ref="B377:C377"/>
    <mergeCell ref="E377:G377"/>
    <mergeCell ref="J377:K377"/>
    <mergeCell ref="B378:C378"/>
    <mergeCell ref="E378:G378"/>
    <mergeCell ref="J378:K378"/>
    <mergeCell ref="B379:C379"/>
    <mergeCell ref="E379:G379"/>
    <mergeCell ref="J379:K379"/>
    <mergeCell ref="B380:C380"/>
    <mergeCell ref="E380:G380"/>
    <mergeCell ref="J380:K380"/>
    <mergeCell ref="B381:C381"/>
    <mergeCell ref="E381:G381"/>
    <mergeCell ref="J381:K381"/>
    <mergeCell ref="B382:C382"/>
    <mergeCell ref="E382:G382"/>
    <mergeCell ref="J382:K382"/>
    <mergeCell ref="B383:C383"/>
    <mergeCell ref="E383:G383"/>
    <mergeCell ref="J383:K383"/>
    <mergeCell ref="B384:C384"/>
    <mergeCell ref="E384:G384"/>
    <mergeCell ref="J384:K384"/>
    <mergeCell ref="B385:C385"/>
    <mergeCell ref="E385:G385"/>
    <mergeCell ref="J385:K385"/>
    <mergeCell ref="B386:C386"/>
    <mergeCell ref="E386:G386"/>
    <mergeCell ref="J386:K386"/>
    <mergeCell ref="B387:C387"/>
    <mergeCell ref="E387:G387"/>
    <mergeCell ref="J387:K387"/>
    <mergeCell ref="B388:C388"/>
    <mergeCell ref="E388:G388"/>
    <mergeCell ref="J388:K388"/>
    <mergeCell ref="B389:C389"/>
    <mergeCell ref="E389:G389"/>
    <mergeCell ref="J389:K389"/>
    <mergeCell ref="B390:C390"/>
    <mergeCell ref="E390:G390"/>
    <mergeCell ref="J390:K390"/>
    <mergeCell ref="B391:C391"/>
    <mergeCell ref="E391:G391"/>
    <mergeCell ref="J391:K391"/>
    <mergeCell ref="B392:C392"/>
    <mergeCell ref="E392:G392"/>
    <mergeCell ref="J392:K392"/>
    <mergeCell ref="B393:C393"/>
    <mergeCell ref="E393:G393"/>
    <mergeCell ref="J393:K393"/>
    <mergeCell ref="B394:C394"/>
    <mergeCell ref="E394:G394"/>
    <mergeCell ref="J394:K394"/>
    <mergeCell ref="B395:C395"/>
    <mergeCell ref="E395:G395"/>
    <mergeCell ref="J395:K395"/>
    <mergeCell ref="B396:C396"/>
    <mergeCell ref="E396:G396"/>
    <mergeCell ref="J396:K396"/>
    <mergeCell ref="B397:C397"/>
    <mergeCell ref="E397:G397"/>
    <mergeCell ref="J397:K397"/>
    <mergeCell ref="B398:C398"/>
    <mergeCell ref="E398:G398"/>
    <mergeCell ref="J398:K398"/>
    <mergeCell ref="B399:C399"/>
    <mergeCell ref="E399:G399"/>
    <mergeCell ref="J399:K399"/>
    <mergeCell ref="B400:C400"/>
    <mergeCell ref="E400:G400"/>
    <mergeCell ref="J400:K400"/>
    <mergeCell ref="B401:C401"/>
    <mergeCell ref="E401:G401"/>
    <mergeCell ref="J401:K401"/>
    <mergeCell ref="B402:C402"/>
    <mergeCell ref="E402:G402"/>
    <mergeCell ref="J402:K402"/>
    <mergeCell ref="B403:C403"/>
    <mergeCell ref="E403:G403"/>
    <mergeCell ref="J403:K403"/>
    <mergeCell ref="B404:C404"/>
    <mergeCell ref="E404:G404"/>
    <mergeCell ref="J404:K404"/>
    <mergeCell ref="B405:C405"/>
    <mergeCell ref="E405:G405"/>
    <mergeCell ref="J405:K405"/>
    <mergeCell ref="B406:C406"/>
    <mergeCell ref="E406:G406"/>
    <mergeCell ref="J406:K406"/>
    <mergeCell ref="B407:C407"/>
    <mergeCell ref="E407:G407"/>
    <mergeCell ref="J407:K407"/>
    <mergeCell ref="B408:C408"/>
    <mergeCell ref="E408:G408"/>
    <mergeCell ref="J408:K408"/>
    <mergeCell ref="B409:C409"/>
    <mergeCell ref="E409:G409"/>
    <mergeCell ref="J409:K409"/>
    <mergeCell ref="B410:C410"/>
    <mergeCell ref="E410:G410"/>
    <mergeCell ref="J410:K410"/>
    <mergeCell ref="B411:C411"/>
    <mergeCell ref="E411:G411"/>
    <mergeCell ref="J411:K411"/>
    <mergeCell ref="B412:C412"/>
    <mergeCell ref="E412:G412"/>
    <mergeCell ref="J412:K412"/>
    <mergeCell ref="B413:C413"/>
    <mergeCell ref="E413:G413"/>
    <mergeCell ref="J413:K413"/>
    <mergeCell ref="B414:C414"/>
    <mergeCell ref="E414:G414"/>
    <mergeCell ref="J414:K414"/>
    <mergeCell ref="B415:C415"/>
    <mergeCell ref="E415:G415"/>
    <mergeCell ref="J415:K415"/>
    <mergeCell ref="B416:C416"/>
    <mergeCell ref="E416:G416"/>
    <mergeCell ref="J416:K416"/>
    <mergeCell ref="B417:C417"/>
    <mergeCell ref="E417:G417"/>
    <mergeCell ref="J417:K417"/>
    <mergeCell ref="B418:C418"/>
    <mergeCell ref="E418:G418"/>
    <mergeCell ref="J418:K418"/>
    <mergeCell ref="B419:C419"/>
    <mergeCell ref="E419:G419"/>
    <mergeCell ref="J419:K419"/>
    <mergeCell ref="B420:C420"/>
    <mergeCell ref="E420:G420"/>
    <mergeCell ref="J420:K420"/>
    <mergeCell ref="B421:C421"/>
    <mergeCell ref="E421:G421"/>
    <mergeCell ref="J421:K421"/>
    <mergeCell ref="B422:C422"/>
    <mergeCell ref="E422:G422"/>
    <mergeCell ref="J422:K422"/>
    <mergeCell ref="B423:C423"/>
    <mergeCell ref="E423:G423"/>
    <mergeCell ref="J423:K423"/>
    <mergeCell ref="B424:C424"/>
    <mergeCell ref="E424:G424"/>
    <mergeCell ref="J424:K424"/>
    <mergeCell ref="B425:C425"/>
    <mergeCell ref="E425:G425"/>
    <mergeCell ref="J425:K425"/>
    <mergeCell ref="B426:C426"/>
    <mergeCell ref="E426:G426"/>
    <mergeCell ref="J426:K426"/>
    <mergeCell ref="B427:C427"/>
    <mergeCell ref="E427:G427"/>
    <mergeCell ref="J427:K427"/>
    <mergeCell ref="B428:C428"/>
    <mergeCell ref="E428:G428"/>
    <mergeCell ref="J428:K428"/>
    <mergeCell ref="B429:C429"/>
    <mergeCell ref="E429:G429"/>
    <mergeCell ref="J429:K429"/>
    <mergeCell ref="B430:C430"/>
    <mergeCell ref="E430:G430"/>
    <mergeCell ref="J430:K430"/>
    <mergeCell ref="B431:C431"/>
    <mergeCell ref="E431:G431"/>
    <mergeCell ref="J431:K431"/>
    <mergeCell ref="B432:C432"/>
    <mergeCell ref="E432:G432"/>
    <mergeCell ref="J432:K432"/>
    <mergeCell ref="B433:C433"/>
    <mergeCell ref="E433:G433"/>
    <mergeCell ref="J433:K433"/>
    <mergeCell ref="B434:C434"/>
    <mergeCell ref="E434:G434"/>
    <mergeCell ref="J434:K434"/>
    <mergeCell ref="B435:C435"/>
    <mergeCell ref="E435:G435"/>
    <mergeCell ref="J435:K435"/>
    <mergeCell ref="B436:C436"/>
    <mergeCell ref="E436:G436"/>
    <mergeCell ref="J436:K436"/>
    <mergeCell ref="B437:C437"/>
    <mergeCell ref="E437:G437"/>
    <mergeCell ref="J437:K437"/>
    <mergeCell ref="B438:C438"/>
    <mergeCell ref="E438:G438"/>
    <mergeCell ref="J438:K438"/>
    <mergeCell ref="B439:C439"/>
    <mergeCell ref="E439:G439"/>
    <mergeCell ref="J439:K439"/>
    <mergeCell ref="B440:C440"/>
    <mergeCell ref="E440:G440"/>
    <mergeCell ref="J440:K440"/>
    <mergeCell ref="B441:C441"/>
    <mergeCell ref="E441:G441"/>
    <mergeCell ref="J441:K441"/>
    <mergeCell ref="B442:C442"/>
    <mergeCell ref="E442:G442"/>
    <mergeCell ref="J442:K442"/>
    <mergeCell ref="B443:C443"/>
    <mergeCell ref="E443:G443"/>
    <mergeCell ref="J443:K443"/>
    <mergeCell ref="B444:C444"/>
    <mergeCell ref="E444:G444"/>
    <mergeCell ref="J444:K444"/>
    <mergeCell ref="B445:C445"/>
    <mergeCell ref="E445:G445"/>
    <mergeCell ref="J445:K445"/>
    <mergeCell ref="B446:C446"/>
    <mergeCell ref="E446:G446"/>
    <mergeCell ref="J446:K446"/>
    <mergeCell ref="B447:C447"/>
    <mergeCell ref="E447:G447"/>
    <mergeCell ref="J447:K447"/>
    <mergeCell ref="B448:C448"/>
    <mergeCell ref="E448:G448"/>
    <mergeCell ref="J448:K448"/>
    <mergeCell ref="B449:C449"/>
    <mergeCell ref="E449:G449"/>
    <mergeCell ref="J449:K449"/>
    <mergeCell ref="B450:C450"/>
    <mergeCell ref="E450:G450"/>
    <mergeCell ref="J450:K450"/>
    <mergeCell ref="B451:C451"/>
    <mergeCell ref="E451:G451"/>
    <mergeCell ref="J451:K451"/>
    <mergeCell ref="B452:C452"/>
    <mergeCell ref="E452:G452"/>
    <mergeCell ref="J452:K452"/>
    <mergeCell ref="B453:C453"/>
    <mergeCell ref="E453:G453"/>
    <mergeCell ref="J453:K453"/>
    <mergeCell ref="B454:C454"/>
    <mergeCell ref="E454:G454"/>
    <mergeCell ref="J454:K454"/>
    <mergeCell ref="A455:K455"/>
    <mergeCell ref="A1:A3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9:A120"/>
    <mergeCell ref="A121:A122"/>
    <mergeCell ref="A123:A124"/>
    <mergeCell ref="A125:A126"/>
    <mergeCell ref="D1:D3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9:D120"/>
    <mergeCell ref="D121:D122"/>
    <mergeCell ref="D123:D124"/>
    <mergeCell ref="D125:D126"/>
    <mergeCell ref="H1:H3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9:H120"/>
    <mergeCell ref="H121:H122"/>
    <mergeCell ref="H123:H124"/>
    <mergeCell ref="H125:H126"/>
    <mergeCell ref="I1:I3"/>
    <mergeCell ref="I96:I97"/>
    <mergeCell ref="I98:I99"/>
    <mergeCell ref="I100:I101"/>
    <mergeCell ref="I102:I103"/>
    <mergeCell ref="I104:I105"/>
    <mergeCell ref="I106:I107"/>
    <mergeCell ref="I108:I109"/>
    <mergeCell ref="I110:I111"/>
    <mergeCell ref="I112:I113"/>
    <mergeCell ref="I119:I120"/>
    <mergeCell ref="I121:I122"/>
    <mergeCell ref="I123:I124"/>
    <mergeCell ref="I125:I126"/>
    <mergeCell ref="L2:L3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9:L120"/>
    <mergeCell ref="L121:L122"/>
    <mergeCell ref="L123:L124"/>
    <mergeCell ref="L125:L126"/>
    <mergeCell ref="B1:C3"/>
    <mergeCell ref="E1:G3"/>
    <mergeCell ref="J2:K3"/>
    <mergeCell ref="B96:C97"/>
    <mergeCell ref="J96:K97"/>
    <mergeCell ref="E96:G97"/>
    <mergeCell ref="B98:C99"/>
    <mergeCell ref="J98:K99"/>
    <mergeCell ref="E98:G99"/>
    <mergeCell ref="B100:C101"/>
    <mergeCell ref="J100:K101"/>
    <mergeCell ref="E100:G101"/>
    <mergeCell ref="B102:C103"/>
    <mergeCell ref="J102:K103"/>
    <mergeCell ref="E102:G103"/>
    <mergeCell ref="B104:C105"/>
    <mergeCell ref="J104:K105"/>
    <mergeCell ref="E104:G105"/>
    <mergeCell ref="B106:C107"/>
    <mergeCell ref="J106:K107"/>
    <mergeCell ref="E106:G107"/>
    <mergeCell ref="B108:C109"/>
    <mergeCell ref="J108:K109"/>
    <mergeCell ref="E108:G109"/>
    <mergeCell ref="B110:C111"/>
    <mergeCell ref="J110:K111"/>
    <mergeCell ref="E110:G111"/>
    <mergeCell ref="B112:C113"/>
    <mergeCell ref="J112:K113"/>
    <mergeCell ref="E112:G113"/>
    <mergeCell ref="B119:C120"/>
    <mergeCell ref="J119:K120"/>
    <mergeCell ref="E119:G120"/>
    <mergeCell ref="B121:C122"/>
    <mergeCell ref="J121:K122"/>
    <mergeCell ref="E121:G122"/>
    <mergeCell ref="B123:C124"/>
    <mergeCell ref="J123:K124"/>
    <mergeCell ref="E123:G124"/>
    <mergeCell ref="B125:C126"/>
    <mergeCell ref="J125:K126"/>
    <mergeCell ref="E125:G126"/>
  </mergeCells>
  <printOptions horizontalCentered="1"/>
  <pageMargins left="0.51968541666667" right="0.51968541666667" top="0.74803125" bottom="0" header="0" footer="0"/>
  <pageSetup paperSize="9" orientation="portrait"/>
  <headerFooter>
    <oddHeader>&amp;L 
&amp;"宋体,加粗"&amp;10 工程名称: &amp;"宋体,加粗"&amp;10 1#2#仓库土建装饰工程 &amp;C &amp;"宋体,加粗"&amp;20 分部分项工程项目清单计价表
 &amp;"宋体,加粗"&amp;10 标段: &amp;"宋体,加粗"&amp;10  &amp;R 
&amp;"宋体,加粗"&amp;10 第&amp;P页, 共&amp;N页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workbookViewId="0">
      <selection activeCell="A1" sqref="A1"/>
    </sheetView>
  </sheetViews>
  <sheetFormatPr defaultColWidth="9" defaultRowHeight="11.25"/>
  <cols>
    <col min="1" max="1" width="7.11111111111111" customWidth="1"/>
    <col min="2" max="2" width="4.68888888888889" customWidth="1"/>
    <col min="3" max="3" width="10.5444444444444" customWidth="1"/>
    <col min="4" max="4" width="22.2333333333333" customWidth="1"/>
    <col min="5" max="5" width="6.41111111111111" customWidth="1"/>
    <col min="6" max="6" width="9.26666666666667" customWidth="1"/>
    <col min="7" max="7" width="15" customWidth="1"/>
    <col min="8" max="8" width="8.4" customWidth="1"/>
    <col min="9" max="9" width="6.68888888888889" customWidth="1"/>
    <col min="10" max="10" width="17.9222222222222" customWidth="1"/>
  </cols>
  <sheetData>
    <row r="1" ht="23" customHeight="1" spans="1:10">
      <c r="A1" s="5" t="s">
        <v>0</v>
      </c>
      <c r="B1" s="5" t="s">
        <v>70</v>
      </c>
      <c r="C1" s="5"/>
      <c r="D1" s="5" t="s">
        <v>71</v>
      </c>
      <c r="E1" s="5" t="s">
        <v>2302</v>
      </c>
      <c r="F1" s="5"/>
      <c r="G1" s="5"/>
      <c r="H1" s="5" t="s">
        <v>2303</v>
      </c>
      <c r="I1" s="5"/>
      <c r="J1" s="5" t="s">
        <v>2304</v>
      </c>
    </row>
    <row r="2" ht="23" customHeight="1" spans="1:10">
      <c r="A2" s="6" t="s">
        <v>3</v>
      </c>
      <c r="B2" s="7" t="s">
        <v>2305</v>
      </c>
      <c r="C2" s="7"/>
      <c r="D2" s="7" t="s">
        <v>2306</v>
      </c>
      <c r="E2" s="14" t="s">
        <v>53</v>
      </c>
      <c r="F2" s="14"/>
      <c r="G2" s="14"/>
      <c r="H2" s="10" t="s">
        <v>2307</v>
      </c>
      <c r="I2" s="10"/>
      <c r="J2" s="7" t="s">
        <v>53</v>
      </c>
    </row>
    <row r="3" ht="23" customHeight="1" spans="1:10">
      <c r="A3" s="6" t="s">
        <v>42</v>
      </c>
      <c r="B3" s="7" t="s">
        <v>2308</v>
      </c>
      <c r="C3" s="7"/>
      <c r="D3" s="7" t="s">
        <v>2309</v>
      </c>
      <c r="E3" s="14" t="s">
        <v>53</v>
      </c>
      <c r="F3" s="14"/>
      <c r="G3" s="14"/>
      <c r="H3" s="10" t="s">
        <v>2310</v>
      </c>
      <c r="I3" s="10"/>
      <c r="J3" s="7" t="s">
        <v>53</v>
      </c>
    </row>
    <row r="4" ht="36" customHeight="1" spans="1:10">
      <c r="A4" s="6" t="s">
        <v>48</v>
      </c>
      <c r="B4" s="7" t="s">
        <v>2311</v>
      </c>
      <c r="C4" s="7"/>
      <c r="D4" s="7" t="s">
        <v>2312</v>
      </c>
      <c r="E4" s="14" t="s">
        <v>53</v>
      </c>
      <c r="F4" s="14"/>
      <c r="G4" s="14"/>
      <c r="H4" s="10" t="s">
        <v>2313</v>
      </c>
      <c r="I4" s="10"/>
      <c r="J4" s="7" t="s">
        <v>53</v>
      </c>
    </row>
    <row r="5" ht="23" customHeight="1" spans="1:10">
      <c r="A5" s="6" t="s">
        <v>62</v>
      </c>
      <c r="B5" s="7" t="s">
        <v>2314</v>
      </c>
      <c r="C5" s="7"/>
      <c r="D5" s="7" t="s">
        <v>2315</v>
      </c>
      <c r="E5" s="14" t="s">
        <v>53</v>
      </c>
      <c r="F5" s="14"/>
      <c r="G5" s="14"/>
      <c r="H5" s="10" t="s">
        <v>53</v>
      </c>
      <c r="I5" s="10"/>
      <c r="J5" s="7" t="s">
        <v>53</v>
      </c>
    </row>
    <row r="6" ht="23" customHeight="1" spans="1:10">
      <c r="A6" s="6" t="s">
        <v>65</v>
      </c>
      <c r="B6" s="7" t="s">
        <v>2316</v>
      </c>
      <c r="C6" s="7"/>
      <c r="D6" s="7" t="s">
        <v>2317</v>
      </c>
      <c r="E6" s="14" t="s">
        <v>53</v>
      </c>
      <c r="F6" s="14"/>
      <c r="G6" s="14"/>
      <c r="H6" s="10" t="s">
        <v>53</v>
      </c>
      <c r="I6" s="10"/>
      <c r="J6" s="7" t="s">
        <v>53</v>
      </c>
    </row>
    <row r="7" ht="23" customHeight="1" spans="1:10">
      <c r="A7" s="6" t="s">
        <v>105</v>
      </c>
      <c r="B7" s="7" t="s">
        <v>2318</v>
      </c>
      <c r="C7" s="7"/>
      <c r="D7" s="7" t="s">
        <v>2319</v>
      </c>
      <c r="E7" s="14" t="s">
        <v>53</v>
      </c>
      <c r="F7" s="14"/>
      <c r="G7" s="14"/>
      <c r="H7" s="10" t="s">
        <v>2320</v>
      </c>
      <c r="I7" s="10"/>
      <c r="J7" s="7" t="s">
        <v>53</v>
      </c>
    </row>
    <row r="8" ht="23" customHeight="1" spans="1:10">
      <c r="A8" s="6" t="s">
        <v>112</v>
      </c>
      <c r="B8" s="7" t="s">
        <v>2321</v>
      </c>
      <c r="C8" s="7"/>
      <c r="D8" s="7" t="s">
        <v>2322</v>
      </c>
      <c r="E8" s="14" t="s">
        <v>53</v>
      </c>
      <c r="F8" s="14"/>
      <c r="G8" s="14"/>
      <c r="H8" s="10" t="s">
        <v>2323</v>
      </c>
      <c r="I8" s="10"/>
      <c r="J8" s="7" t="s">
        <v>53</v>
      </c>
    </row>
    <row r="9" ht="23" customHeight="1" spans="1:10">
      <c r="A9" s="6" t="s">
        <v>118</v>
      </c>
      <c r="B9" s="7" t="s">
        <v>2324</v>
      </c>
      <c r="C9" s="7"/>
      <c r="D9" s="7" t="s">
        <v>2325</v>
      </c>
      <c r="E9" s="14" t="s">
        <v>53</v>
      </c>
      <c r="F9" s="14"/>
      <c r="G9" s="14"/>
      <c r="H9" s="10" t="s">
        <v>2326</v>
      </c>
      <c r="I9" s="10"/>
      <c r="J9" s="7" t="s">
        <v>53</v>
      </c>
    </row>
    <row r="10" ht="36" customHeight="1" spans="1:10">
      <c r="A10" s="6" t="s">
        <v>124</v>
      </c>
      <c r="B10" s="7" t="s">
        <v>2327</v>
      </c>
      <c r="C10" s="7"/>
      <c r="D10" s="7" t="s">
        <v>2328</v>
      </c>
      <c r="E10" s="14" t="s">
        <v>53</v>
      </c>
      <c r="F10" s="14"/>
      <c r="G10" s="14"/>
      <c r="H10" s="10" t="s">
        <v>47</v>
      </c>
      <c r="I10" s="10"/>
      <c r="J10" s="7" t="s">
        <v>2329</v>
      </c>
    </row>
    <row r="11" ht="23" customHeight="1" spans="1:10">
      <c r="A11" s="6" t="s">
        <v>131</v>
      </c>
      <c r="B11" s="7" t="s">
        <v>2330</v>
      </c>
      <c r="C11" s="7"/>
      <c r="D11" s="7" t="s">
        <v>2331</v>
      </c>
      <c r="E11" s="14" t="s">
        <v>53</v>
      </c>
      <c r="F11" s="14"/>
      <c r="G11" s="14"/>
      <c r="H11" s="10" t="s">
        <v>53</v>
      </c>
      <c r="I11" s="10"/>
      <c r="J11" s="7" t="s">
        <v>53</v>
      </c>
    </row>
    <row r="12" ht="23" customHeight="1" spans="1:10">
      <c r="A12" s="6" t="s">
        <v>141</v>
      </c>
      <c r="B12" s="7" t="s">
        <v>2332</v>
      </c>
      <c r="C12" s="7"/>
      <c r="D12" s="7" t="s">
        <v>2333</v>
      </c>
      <c r="E12" s="14" t="s">
        <v>53</v>
      </c>
      <c r="F12" s="14"/>
      <c r="G12" s="14"/>
      <c r="H12" s="10" t="s">
        <v>53</v>
      </c>
      <c r="I12" s="10"/>
      <c r="J12" s="7" t="s">
        <v>53</v>
      </c>
    </row>
    <row r="13" ht="23" customHeight="1" spans="1:10">
      <c r="A13" s="6" t="s">
        <v>148</v>
      </c>
      <c r="B13" s="7" t="s">
        <v>2334</v>
      </c>
      <c r="C13" s="7"/>
      <c r="D13" s="7" t="s">
        <v>2335</v>
      </c>
      <c r="E13" s="14" t="s">
        <v>53</v>
      </c>
      <c r="F13" s="14"/>
      <c r="G13" s="14"/>
      <c r="H13" s="10" t="s">
        <v>53</v>
      </c>
      <c r="I13" s="10"/>
      <c r="J13" s="7" t="s">
        <v>53</v>
      </c>
    </row>
    <row r="14" ht="23" customHeight="1" spans="1:10">
      <c r="A14" s="6" t="s">
        <v>155</v>
      </c>
      <c r="B14" s="7" t="s">
        <v>2336</v>
      </c>
      <c r="C14" s="7"/>
      <c r="D14" s="7" t="s">
        <v>2337</v>
      </c>
      <c r="E14" s="14" t="s">
        <v>53</v>
      </c>
      <c r="F14" s="14"/>
      <c r="G14" s="14"/>
      <c r="H14" s="10" t="s">
        <v>53</v>
      </c>
      <c r="I14" s="10"/>
      <c r="J14" s="7" t="s">
        <v>53</v>
      </c>
    </row>
    <row r="15" ht="23" customHeight="1" spans="1:10">
      <c r="A15" s="6" t="s">
        <v>162</v>
      </c>
      <c r="B15" s="7" t="s">
        <v>2338</v>
      </c>
      <c r="C15" s="7"/>
      <c r="D15" s="7" t="s">
        <v>2339</v>
      </c>
      <c r="E15" s="14" t="s">
        <v>53</v>
      </c>
      <c r="F15" s="14"/>
      <c r="G15" s="14"/>
      <c r="H15" s="10" t="s">
        <v>53</v>
      </c>
      <c r="I15" s="10"/>
      <c r="J15" s="7" t="s">
        <v>53</v>
      </c>
    </row>
    <row r="16" ht="36" customHeight="1" spans="1:10">
      <c r="A16" s="6" t="s">
        <v>169</v>
      </c>
      <c r="B16" s="7" t="s">
        <v>2340</v>
      </c>
      <c r="C16" s="7"/>
      <c r="D16" s="7" t="s">
        <v>2341</v>
      </c>
      <c r="E16" s="14" t="s">
        <v>53</v>
      </c>
      <c r="F16" s="14"/>
      <c r="G16" s="14"/>
      <c r="H16" s="10" t="s">
        <v>53</v>
      </c>
      <c r="I16" s="10"/>
      <c r="J16" s="7" t="s">
        <v>53</v>
      </c>
    </row>
    <row r="17" ht="66" customHeight="1" spans="1:10">
      <c r="A17" s="6" t="s">
        <v>176</v>
      </c>
      <c r="B17" s="7" t="s">
        <v>2342</v>
      </c>
      <c r="C17" s="7"/>
      <c r="D17" s="7" t="s">
        <v>2343</v>
      </c>
      <c r="E17" s="14" t="s">
        <v>53</v>
      </c>
      <c r="F17" s="14"/>
      <c r="G17" s="14"/>
      <c r="H17" s="10" t="s">
        <v>53</v>
      </c>
      <c r="I17" s="10"/>
      <c r="J17" s="7" t="s">
        <v>2344</v>
      </c>
    </row>
    <row r="18" ht="51" customHeight="1" spans="1:10">
      <c r="A18" s="6" t="s">
        <v>182</v>
      </c>
      <c r="B18" s="7" t="s">
        <v>2345</v>
      </c>
      <c r="C18" s="7"/>
      <c r="D18" s="7" t="s">
        <v>2346</v>
      </c>
      <c r="E18" s="14" t="s">
        <v>53</v>
      </c>
      <c r="F18" s="14"/>
      <c r="G18" s="14"/>
      <c r="H18" s="10" t="s">
        <v>53</v>
      </c>
      <c r="I18" s="10"/>
      <c r="J18" s="7" t="s">
        <v>53</v>
      </c>
    </row>
    <row r="19" ht="36" customHeight="1" spans="1:10">
      <c r="A19" s="6" t="s">
        <v>188</v>
      </c>
      <c r="B19" s="7" t="s">
        <v>2347</v>
      </c>
      <c r="C19" s="7"/>
      <c r="D19" s="7" t="s">
        <v>2348</v>
      </c>
      <c r="E19" s="14" t="s">
        <v>53</v>
      </c>
      <c r="F19" s="14"/>
      <c r="G19" s="14"/>
      <c r="H19" s="10" t="s">
        <v>53</v>
      </c>
      <c r="I19" s="10"/>
      <c r="J19" s="7" t="s">
        <v>53</v>
      </c>
    </row>
    <row r="20" ht="23" customHeight="1" spans="1:10">
      <c r="A20" s="6" t="s">
        <v>194</v>
      </c>
      <c r="B20" s="7" t="s">
        <v>2349</v>
      </c>
      <c r="C20" s="7"/>
      <c r="D20" s="7" t="s">
        <v>2350</v>
      </c>
      <c r="E20" s="14" t="s">
        <v>53</v>
      </c>
      <c r="F20" s="14"/>
      <c r="G20" s="14"/>
      <c r="H20" s="10" t="s">
        <v>53</v>
      </c>
      <c r="I20" s="10"/>
      <c r="J20" s="7" t="s">
        <v>53</v>
      </c>
    </row>
    <row r="21" ht="23" customHeight="1" spans="1:10">
      <c r="A21" s="6" t="s">
        <v>203</v>
      </c>
      <c r="B21" s="7" t="s">
        <v>2351</v>
      </c>
      <c r="C21" s="7"/>
      <c r="D21" s="7" t="s">
        <v>2352</v>
      </c>
      <c r="E21" s="14" t="s">
        <v>53</v>
      </c>
      <c r="F21" s="14"/>
      <c r="G21" s="14"/>
      <c r="H21" s="10" t="s">
        <v>53</v>
      </c>
      <c r="I21" s="10"/>
      <c r="J21" s="7" t="s">
        <v>53</v>
      </c>
    </row>
    <row r="22" ht="23" customHeight="1" spans="1:10">
      <c r="A22" s="6" t="s">
        <v>207</v>
      </c>
      <c r="B22" s="7" t="s">
        <v>2353</v>
      </c>
      <c r="C22" s="7"/>
      <c r="D22" s="7" t="s">
        <v>2354</v>
      </c>
      <c r="E22" s="14" t="s">
        <v>53</v>
      </c>
      <c r="F22" s="14"/>
      <c r="G22" s="14"/>
      <c r="H22" s="10" t="s">
        <v>53</v>
      </c>
      <c r="I22" s="10"/>
      <c r="J22" s="7" t="s">
        <v>53</v>
      </c>
    </row>
    <row r="23" ht="36" customHeight="1" spans="1:10">
      <c r="A23" s="6" t="s">
        <v>214</v>
      </c>
      <c r="B23" s="7" t="s">
        <v>2355</v>
      </c>
      <c r="C23" s="7"/>
      <c r="D23" s="7" t="s">
        <v>2356</v>
      </c>
      <c r="E23" s="14" t="s">
        <v>53</v>
      </c>
      <c r="F23" s="14"/>
      <c r="G23" s="14"/>
      <c r="H23" s="10" t="s">
        <v>53</v>
      </c>
      <c r="I23" s="10"/>
      <c r="J23" s="7" t="s">
        <v>53</v>
      </c>
    </row>
    <row r="24" ht="23" customHeight="1" spans="1:10">
      <c r="A24" s="6" t="s">
        <v>219</v>
      </c>
      <c r="B24" s="7" t="s">
        <v>2357</v>
      </c>
      <c r="C24" s="7"/>
      <c r="D24" s="7" t="s">
        <v>2358</v>
      </c>
      <c r="E24" s="14" t="s">
        <v>53</v>
      </c>
      <c r="F24" s="14"/>
      <c r="G24" s="14"/>
      <c r="H24" s="10" t="s">
        <v>53</v>
      </c>
      <c r="I24" s="10"/>
      <c r="J24" s="7" t="s">
        <v>53</v>
      </c>
    </row>
    <row r="25" ht="23" customHeight="1" spans="1:10">
      <c r="A25" s="6" t="s">
        <v>223</v>
      </c>
      <c r="B25" s="7" t="s">
        <v>2359</v>
      </c>
      <c r="C25" s="7"/>
      <c r="D25" s="7" t="s">
        <v>2360</v>
      </c>
      <c r="E25" s="14" t="s">
        <v>53</v>
      </c>
      <c r="F25" s="14"/>
      <c r="G25" s="14"/>
      <c r="H25" s="10" t="s">
        <v>53</v>
      </c>
      <c r="I25" s="10"/>
      <c r="J25" s="7" t="s">
        <v>53</v>
      </c>
    </row>
    <row r="26" ht="36" customHeight="1" spans="1:10">
      <c r="A26" s="6" t="s">
        <v>227</v>
      </c>
      <c r="B26" s="7" t="s">
        <v>2361</v>
      </c>
      <c r="C26" s="7"/>
      <c r="D26" s="7" t="s">
        <v>2362</v>
      </c>
      <c r="E26" s="14" t="s">
        <v>53</v>
      </c>
      <c r="F26" s="14"/>
      <c r="G26" s="14"/>
      <c r="H26" s="10" t="s">
        <v>53</v>
      </c>
      <c r="I26" s="10"/>
      <c r="J26" s="7" t="s">
        <v>53</v>
      </c>
    </row>
    <row r="27" ht="23" customHeight="1" spans="1:10">
      <c r="A27" s="6" t="s">
        <v>234</v>
      </c>
      <c r="B27" s="7" t="s">
        <v>2363</v>
      </c>
      <c r="C27" s="7"/>
      <c r="D27" s="7" t="s">
        <v>2364</v>
      </c>
      <c r="E27" s="14" t="s">
        <v>53</v>
      </c>
      <c r="F27" s="14"/>
      <c r="G27" s="14"/>
      <c r="H27" s="10" t="s">
        <v>53</v>
      </c>
      <c r="I27" s="10"/>
      <c r="J27" s="7" t="s">
        <v>53</v>
      </c>
    </row>
    <row r="28" ht="23" customHeight="1" spans="1:10">
      <c r="A28" s="6" t="s">
        <v>2301</v>
      </c>
      <c r="B28" s="6"/>
      <c r="C28" s="6"/>
      <c r="D28" s="6"/>
      <c r="E28" s="6"/>
      <c r="F28" s="6"/>
      <c r="G28" s="6"/>
      <c r="H28" s="10" t="s">
        <v>44</v>
      </c>
      <c r="I28" s="10"/>
      <c r="J28" s="6" t="s">
        <v>2365</v>
      </c>
    </row>
  </sheetData>
  <mergeCells count="83">
    <mergeCell ref="B1:C1"/>
    <mergeCell ref="E1:G1"/>
    <mergeCell ref="H1:I1"/>
    <mergeCell ref="B2:C2"/>
    <mergeCell ref="E2:G2"/>
    <mergeCell ref="H2:I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B27:C27"/>
    <mergeCell ref="E27:G27"/>
    <mergeCell ref="H27:I27"/>
    <mergeCell ref="A28:G28"/>
    <mergeCell ref="H28:I28"/>
  </mergeCells>
  <printOptions horizontalCentered="1"/>
  <pageMargins left="0.51968541666667" right="0.51968541666667" top="0.74803125" bottom="0" header="0" footer="0"/>
  <pageSetup paperSize="9" orientation="portrait"/>
  <headerFooter>
    <oddHeader>&amp;L 
&amp;"宋体,加粗"&amp;10 工程名称: &amp;"宋体,加粗"&amp;10 1#2#仓库土建装饰工程 &amp;C &amp;"宋体,加粗"&amp;20 措施项目清单计价表
 &amp;"宋体,加粗"&amp;10 标段: &amp;"宋体,加粗"&amp;10  &amp;R 
&amp;"宋体,加粗"&amp;10 第&amp;P页, 共&amp;N页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:J1"/>
    </sheetView>
  </sheetViews>
  <sheetFormatPr defaultColWidth="9" defaultRowHeight="11.25"/>
  <cols>
    <col min="1" max="1" width="7.11111111111111" customWidth="1"/>
    <col min="2" max="2" width="4.68888888888889" customWidth="1"/>
    <col min="3" max="3" width="29.8555555555556" customWidth="1"/>
    <col min="4" max="4" width="11.4" customWidth="1"/>
    <col min="5" max="6" width="4.68888888888889" customWidth="1"/>
    <col min="7" max="7" width="11.2666666666667" customWidth="1"/>
    <col min="8" max="8" width="13" customWidth="1"/>
    <col min="9" max="9" width="2.97777777777778" customWidth="1"/>
    <col min="10" max="10" width="21.7777777777778" customWidth="1"/>
  </cols>
  <sheetData>
    <row r="1" ht="36" customHeight="1" spans="1:10">
      <c r="A1" s="1" t="s">
        <v>2366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2367</v>
      </c>
      <c r="B2" s="2"/>
      <c r="C2" s="2" t="s">
        <v>2368</v>
      </c>
      <c r="D2" s="2"/>
      <c r="E2" s="3" t="s">
        <v>2369</v>
      </c>
      <c r="F2" s="3"/>
      <c r="G2" s="2" t="s">
        <v>53</v>
      </c>
      <c r="H2" s="2"/>
      <c r="I2" s="3" t="s">
        <v>2370</v>
      </c>
      <c r="J2" s="3"/>
    </row>
    <row r="3" ht="36" customHeight="1" spans="1:10">
      <c r="A3" s="5" t="s">
        <v>0</v>
      </c>
      <c r="B3" s="5" t="s">
        <v>71</v>
      </c>
      <c r="C3" s="5"/>
      <c r="D3" s="5" t="s">
        <v>2371</v>
      </c>
      <c r="E3" s="5"/>
      <c r="F3" s="5" t="s">
        <v>2372</v>
      </c>
      <c r="G3" s="5"/>
      <c r="H3" s="5" t="s">
        <v>2373</v>
      </c>
      <c r="I3" s="5"/>
      <c r="J3" s="5" t="s">
        <v>2304</v>
      </c>
    </row>
    <row r="4" ht="23" customHeight="1" spans="1:10">
      <c r="A4" s="6" t="s">
        <v>3</v>
      </c>
      <c r="B4" s="7" t="s">
        <v>2374</v>
      </c>
      <c r="C4" s="7"/>
      <c r="D4" s="10" t="s">
        <v>53</v>
      </c>
      <c r="E4" s="10"/>
      <c r="F4" s="10" t="s">
        <v>53</v>
      </c>
      <c r="G4" s="10"/>
      <c r="H4" s="7" t="s">
        <v>53</v>
      </c>
      <c r="I4" s="7"/>
      <c r="J4" s="11" t="s">
        <v>53</v>
      </c>
    </row>
    <row r="5" ht="23" customHeight="1" spans="1:10">
      <c r="A5" s="6" t="s">
        <v>42</v>
      </c>
      <c r="B5" s="7" t="s">
        <v>2375</v>
      </c>
      <c r="C5" s="7"/>
      <c r="D5" s="10" t="s">
        <v>53</v>
      </c>
      <c r="E5" s="10"/>
      <c r="F5" s="10" t="s">
        <v>53</v>
      </c>
      <c r="G5" s="10"/>
      <c r="H5" s="7" t="s">
        <v>53</v>
      </c>
      <c r="I5" s="7"/>
      <c r="J5" s="11" t="s">
        <v>2376</v>
      </c>
    </row>
    <row r="6" ht="23" customHeight="1" spans="1:10">
      <c r="A6" s="6" t="s">
        <v>48</v>
      </c>
      <c r="B6" s="7" t="s">
        <v>2377</v>
      </c>
      <c r="C6" s="7"/>
      <c r="D6" s="10" t="s">
        <v>53</v>
      </c>
      <c r="E6" s="10"/>
      <c r="F6" s="10" t="s">
        <v>53</v>
      </c>
      <c r="G6" s="10"/>
      <c r="H6" s="7" t="s">
        <v>53</v>
      </c>
      <c r="I6" s="7"/>
      <c r="J6" s="11" t="s">
        <v>53</v>
      </c>
    </row>
    <row r="7" ht="23" customHeight="1" spans="1:10">
      <c r="A7" s="6" t="s">
        <v>62</v>
      </c>
      <c r="B7" s="7" t="s">
        <v>2378</v>
      </c>
      <c r="C7" s="7"/>
      <c r="D7" s="10" t="s">
        <v>53</v>
      </c>
      <c r="E7" s="10"/>
      <c r="F7" s="10" t="s">
        <v>53</v>
      </c>
      <c r="G7" s="10"/>
      <c r="H7" s="7" t="s">
        <v>53</v>
      </c>
      <c r="I7" s="7"/>
      <c r="J7" s="11" t="s">
        <v>53</v>
      </c>
    </row>
    <row r="8" ht="51" customHeight="1" spans="1:10">
      <c r="A8" s="6" t="s">
        <v>65</v>
      </c>
      <c r="B8" s="7" t="s">
        <v>2379</v>
      </c>
      <c r="C8" s="7"/>
      <c r="D8" s="10" t="s">
        <v>50</v>
      </c>
      <c r="E8" s="10"/>
      <c r="F8" s="10" t="s">
        <v>53</v>
      </c>
      <c r="G8" s="10"/>
      <c r="H8" s="7" t="s">
        <v>53</v>
      </c>
      <c r="I8" s="7"/>
      <c r="J8" s="11" t="s">
        <v>2380</v>
      </c>
    </row>
    <row r="9" ht="66" customHeight="1" spans="1:10">
      <c r="A9" s="6" t="s">
        <v>105</v>
      </c>
      <c r="B9" s="7" t="s">
        <v>2381</v>
      </c>
      <c r="C9" s="7"/>
      <c r="D9" s="10" t="s">
        <v>53</v>
      </c>
      <c r="E9" s="10"/>
      <c r="F9" s="10" t="s">
        <v>53</v>
      </c>
      <c r="G9" s="10"/>
      <c r="H9" s="7" t="s">
        <v>53</v>
      </c>
      <c r="I9" s="7"/>
      <c r="J9" s="11" t="s">
        <v>2382</v>
      </c>
    </row>
    <row r="10" ht="23" customHeight="1" spans="1:10">
      <c r="A10" s="6" t="s">
        <v>112</v>
      </c>
      <c r="B10" s="7" t="s">
        <v>2383</v>
      </c>
      <c r="C10" s="7"/>
      <c r="D10" s="10" t="s">
        <v>53</v>
      </c>
      <c r="E10" s="10"/>
      <c r="F10" s="10" t="s">
        <v>53</v>
      </c>
      <c r="G10" s="10"/>
      <c r="H10" s="7" t="s">
        <v>53</v>
      </c>
      <c r="I10" s="7"/>
      <c r="J10" s="11" t="s">
        <v>53</v>
      </c>
    </row>
    <row r="11" ht="23" customHeight="1" spans="1:10">
      <c r="A11" s="6" t="s">
        <v>2301</v>
      </c>
      <c r="B11" s="6"/>
      <c r="C11" s="6"/>
      <c r="D11" s="10" t="s">
        <v>50</v>
      </c>
      <c r="E11" s="10"/>
      <c r="F11" s="11" t="s">
        <v>53</v>
      </c>
      <c r="G11" s="11"/>
      <c r="H11" s="11" t="s">
        <v>53</v>
      </c>
      <c r="I11" s="11"/>
      <c r="J11" s="6" t="s">
        <v>2365</v>
      </c>
    </row>
  </sheetData>
  <mergeCells count="42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A11:C11"/>
    <mergeCell ref="D11:E11"/>
    <mergeCell ref="F11:G11"/>
    <mergeCell ref="H11:I11"/>
  </mergeCells>
  <printOptions horizontalCentered="1"/>
  <pageMargins left="0.51968541666667" right="0.51968541666667" top="0.74803125" bottom="0" header="0" footer="0"/>
  <pageSetup paperSize="9" orientation="portrait"/>
  <headerFooter/>
  <rowBreaks count="1" manualBreakCount="1">
    <brk id="1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A1" sqref="A1:M1"/>
    </sheetView>
  </sheetViews>
  <sheetFormatPr defaultColWidth="9" defaultRowHeight="11.25"/>
  <cols>
    <col min="1" max="1" width="4.97777777777778" customWidth="1"/>
    <col min="2" max="2" width="2.12222222222222" customWidth="1"/>
    <col min="3" max="3" width="5.97777777777778" customWidth="1"/>
    <col min="4" max="4" width="17" customWidth="1"/>
    <col min="5" max="5" width="13.4555555555556" customWidth="1"/>
    <col min="6" max="6" width="9.68888888888889" customWidth="1"/>
    <col min="7" max="7" width="1.55555555555556" customWidth="1"/>
    <col min="8" max="8" width="9.26666666666667" customWidth="1"/>
    <col min="9" max="9" width="5.11111111111111" customWidth="1"/>
    <col min="10" max="10" width="15.7777777777778" customWidth="1"/>
    <col min="11" max="11" width="3.83333333333333" customWidth="1"/>
    <col min="12" max="12" width="13.9222222222222" customWidth="1"/>
    <col min="13" max="13" width="10.1666666666667" customWidth="1"/>
  </cols>
  <sheetData>
    <row r="1" ht="36" customHeight="1" spans="1:13">
      <c r="A1" s="1" t="s">
        <v>2384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4" customHeight="1" spans="1:13">
      <c r="A2" s="2" t="s">
        <v>2367</v>
      </c>
      <c r="B2" s="2"/>
      <c r="C2" s="2"/>
      <c r="D2" s="2" t="s">
        <v>2368</v>
      </c>
      <c r="E2" s="2"/>
      <c r="F2" s="2"/>
      <c r="G2" s="2"/>
      <c r="H2" s="3" t="s">
        <v>2369</v>
      </c>
      <c r="I2" s="2" t="s">
        <v>53</v>
      </c>
      <c r="J2" s="2"/>
      <c r="K2" s="2"/>
      <c r="L2" s="3" t="s">
        <v>2370</v>
      </c>
      <c r="M2" s="3"/>
    </row>
    <row r="3" ht="23" customHeight="1" spans="1:13">
      <c r="A3" s="5" t="s">
        <v>0</v>
      </c>
      <c r="B3" s="5"/>
      <c r="C3" s="5" t="s">
        <v>71</v>
      </c>
      <c r="D3" s="5"/>
      <c r="E3" s="5" t="s">
        <v>2385</v>
      </c>
      <c r="F3" s="5" t="s">
        <v>2386</v>
      </c>
      <c r="G3" s="5" t="s">
        <v>2387</v>
      </c>
      <c r="H3" s="5"/>
      <c r="I3" s="5"/>
      <c r="J3" s="5" t="s">
        <v>2388</v>
      </c>
      <c r="K3" s="5" t="s">
        <v>2389</v>
      </c>
      <c r="L3" s="5"/>
      <c r="M3" s="5" t="s">
        <v>2304</v>
      </c>
    </row>
    <row r="4" ht="23" customHeight="1" spans="1:13">
      <c r="A4" s="6" t="s">
        <v>3</v>
      </c>
      <c r="B4" s="6"/>
      <c r="C4" s="7" t="s">
        <v>2390</v>
      </c>
      <c r="D4" s="7"/>
      <c r="E4" s="9" t="s">
        <v>53</v>
      </c>
      <c r="F4" s="10" t="s">
        <v>53</v>
      </c>
      <c r="G4" s="10" t="s">
        <v>53</v>
      </c>
      <c r="H4" s="10"/>
      <c r="I4" s="10"/>
      <c r="J4" s="11" t="s">
        <v>53</v>
      </c>
      <c r="K4" s="11" t="s">
        <v>53</v>
      </c>
      <c r="L4" s="11"/>
      <c r="M4" s="11" t="s">
        <v>53</v>
      </c>
    </row>
    <row r="5" ht="23" customHeight="1" spans="1:13">
      <c r="A5" s="6" t="s">
        <v>42</v>
      </c>
      <c r="B5" s="6"/>
      <c r="C5" s="7" t="s">
        <v>2391</v>
      </c>
      <c r="D5" s="7"/>
      <c r="E5" s="9" t="s">
        <v>53</v>
      </c>
      <c r="F5" s="10" t="s">
        <v>53</v>
      </c>
      <c r="G5" s="10" t="s">
        <v>53</v>
      </c>
      <c r="H5" s="10"/>
      <c r="I5" s="10"/>
      <c r="J5" s="11" t="s">
        <v>53</v>
      </c>
      <c r="K5" s="11" t="s">
        <v>53</v>
      </c>
      <c r="L5" s="11"/>
      <c r="M5" s="11" t="s">
        <v>53</v>
      </c>
    </row>
    <row r="6" ht="23" customHeight="1" spans="1:13">
      <c r="A6" s="6" t="s">
        <v>45</v>
      </c>
      <c r="B6" s="6"/>
      <c r="C6" s="7" t="s">
        <v>53</v>
      </c>
      <c r="D6" s="7"/>
      <c r="E6" s="9" t="s">
        <v>53</v>
      </c>
      <c r="F6" s="10" t="s">
        <v>53</v>
      </c>
      <c r="G6" s="10" t="s">
        <v>53</v>
      </c>
      <c r="H6" s="10"/>
      <c r="I6" s="10"/>
      <c r="J6" s="11" t="s">
        <v>53</v>
      </c>
      <c r="K6" s="11" t="s">
        <v>53</v>
      </c>
      <c r="L6" s="11"/>
      <c r="M6" s="11" t="s">
        <v>53</v>
      </c>
    </row>
    <row r="7" ht="23" customHeight="1" spans="1:13">
      <c r="A7" s="6" t="s">
        <v>48</v>
      </c>
      <c r="B7" s="6"/>
      <c r="C7" s="7" t="s">
        <v>2392</v>
      </c>
      <c r="D7" s="7"/>
      <c r="E7" s="9" t="s">
        <v>53</v>
      </c>
      <c r="F7" s="10" t="s">
        <v>53</v>
      </c>
      <c r="G7" s="10" t="s">
        <v>53</v>
      </c>
      <c r="H7" s="10"/>
      <c r="I7" s="10"/>
      <c r="J7" s="11" t="s">
        <v>53</v>
      </c>
      <c r="K7" s="11" t="s">
        <v>53</v>
      </c>
      <c r="L7" s="11"/>
      <c r="M7" s="11" t="s">
        <v>53</v>
      </c>
    </row>
    <row r="8" ht="23" customHeight="1" spans="1:13">
      <c r="A8" s="6" t="s">
        <v>51</v>
      </c>
      <c r="B8" s="6"/>
      <c r="C8" s="7" t="s">
        <v>53</v>
      </c>
      <c r="D8" s="7"/>
      <c r="E8" s="9" t="s">
        <v>53</v>
      </c>
      <c r="F8" s="10" t="s">
        <v>53</v>
      </c>
      <c r="G8" s="10" t="s">
        <v>53</v>
      </c>
      <c r="H8" s="10"/>
      <c r="I8" s="10"/>
      <c r="J8" s="11" t="s">
        <v>53</v>
      </c>
      <c r="K8" s="11" t="s">
        <v>53</v>
      </c>
      <c r="L8" s="11"/>
      <c r="M8" s="11" t="s">
        <v>53</v>
      </c>
    </row>
    <row r="9" ht="23" customHeight="1" spans="1:13">
      <c r="A9" s="6" t="s">
        <v>62</v>
      </c>
      <c r="B9" s="6"/>
      <c r="C9" s="7" t="s">
        <v>2393</v>
      </c>
      <c r="D9" s="7"/>
      <c r="E9" s="9" t="s">
        <v>53</v>
      </c>
      <c r="F9" s="10" t="s">
        <v>53</v>
      </c>
      <c r="G9" s="10" t="s">
        <v>53</v>
      </c>
      <c r="H9" s="10"/>
      <c r="I9" s="10"/>
      <c r="J9" s="11" t="s">
        <v>53</v>
      </c>
      <c r="K9" s="11" t="s">
        <v>53</v>
      </c>
      <c r="L9" s="11"/>
      <c r="M9" s="11" t="s">
        <v>53</v>
      </c>
    </row>
    <row r="10" ht="23" customHeight="1" spans="1:13">
      <c r="A10" s="6" t="s">
        <v>2394</v>
      </c>
      <c r="B10" s="6"/>
      <c r="C10" s="7" t="s">
        <v>53</v>
      </c>
      <c r="D10" s="7"/>
      <c r="E10" s="9" t="s">
        <v>53</v>
      </c>
      <c r="F10" s="10" t="s">
        <v>53</v>
      </c>
      <c r="G10" s="10" t="s">
        <v>53</v>
      </c>
      <c r="H10" s="10"/>
      <c r="I10" s="10"/>
      <c r="J10" s="11" t="s">
        <v>53</v>
      </c>
      <c r="K10" s="11" t="s">
        <v>53</v>
      </c>
      <c r="L10" s="11"/>
      <c r="M10" s="11" t="s">
        <v>53</v>
      </c>
    </row>
    <row r="11" ht="23" customHeight="1" spans="1:13">
      <c r="A11" s="6" t="s">
        <v>2395</v>
      </c>
      <c r="B11" s="6"/>
      <c r="C11" s="6"/>
      <c r="D11" s="6"/>
      <c r="E11" s="6" t="s">
        <v>2396</v>
      </c>
      <c r="F11" s="6" t="s">
        <v>2396</v>
      </c>
      <c r="G11" s="10" t="s">
        <v>53</v>
      </c>
      <c r="H11" s="10"/>
      <c r="I11" s="10"/>
      <c r="J11" s="11" t="s">
        <v>53</v>
      </c>
      <c r="K11" s="11" t="s">
        <v>53</v>
      </c>
      <c r="L11" s="11"/>
      <c r="M11" s="6" t="s">
        <v>2396</v>
      </c>
    </row>
    <row r="12" ht="23" customHeight="1" spans="1:13">
      <c r="A12" s="6" t="s">
        <v>2301</v>
      </c>
      <c r="B12" s="6"/>
      <c r="C12" s="6"/>
      <c r="D12" s="6"/>
      <c r="E12" s="6" t="s">
        <v>2396</v>
      </c>
      <c r="F12" s="12" t="s">
        <v>2396</v>
      </c>
      <c r="G12" s="10" t="s">
        <v>53</v>
      </c>
      <c r="H12" s="10"/>
      <c r="I12" s="10"/>
      <c r="J12" s="11" t="s">
        <v>53</v>
      </c>
      <c r="K12" s="11" t="s">
        <v>53</v>
      </c>
      <c r="L12" s="11"/>
      <c r="M12" s="6" t="s">
        <v>2396</v>
      </c>
    </row>
    <row r="13" ht="61" customHeight="1" spans="1:13">
      <c r="A13" s="13" t="s">
        <v>2397</v>
      </c>
      <c r="B13" s="13" t="s">
        <v>2398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1"/>
  <pageMargins left="0.51968541666667" right="0.51968541666667" top="0.74803125" bottom="0" header="0" footer="0"/>
  <pageSetup paperSize="9" orientation="portrait"/>
  <headerFooter/>
  <rowBreaks count="1" manualBreakCount="1">
    <brk id="1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A1" sqref="A1:J1"/>
    </sheetView>
  </sheetViews>
  <sheetFormatPr defaultColWidth="9" defaultRowHeight="11.25" outlineLevelRow="4"/>
  <cols>
    <col min="1" max="1" width="7.54444444444444" customWidth="1"/>
    <col min="2" max="2" width="4.25555555555556" customWidth="1"/>
    <col min="3" max="3" width="16.8444444444444" customWidth="1"/>
    <col min="4" max="4" width="23.4666666666667" customWidth="1"/>
    <col min="5" max="5" width="7.96666666666667" customWidth="1"/>
    <col min="6" max="6" width="0.788888888888889" customWidth="1"/>
    <col min="7" max="7" width="17.3111111111111" customWidth="1"/>
    <col min="8" max="8" width="6.25555555555556" customWidth="1"/>
    <col min="9" max="9" width="4.68888888888889" customWidth="1"/>
    <col min="10" max="10" width="18.5444444444444" customWidth="1"/>
  </cols>
  <sheetData>
    <row r="1" ht="36" customHeight="1" spans="1:10">
      <c r="A1" s="1" t="s">
        <v>2399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2367</v>
      </c>
      <c r="B2" s="2"/>
      <c r="C2" s="2" t="s">
        <v>2368</v>
      </c>
      <c r="D2" s="2"/>
      <c r="E2" s="3" t="s">
        <v>2369</v>
      </c>
      <c r="F2" s="3"/>
      <c r="G2" s="4" t="s">
        <v>53</v>
      </c>
      <c r="H2" s="4"/>
      <c r="I2" s="3" t="s">
        <v>2370</v>
      </c>
      <c r="J2" s="3"/>
    </row>
    <row r="3" ht="23" customHeight="1" spans="1:10">
      <c r="A3" s="5" t="s">
        <v>0</v>
      </c>
      <c r="B3" s="5" t="s">
        <v>71</v>
      </c>
      <c r="C3" s="5"/>
      <c r="D3" s="5" t="s">
        <v>2400</v>
      </c>
      <c r="E3" s="5"/>
      <c r="F3" s="5" t="s">
        <v>2385</v>
      </c>
      <c r="G3" s="5"/>
      <c r="H3" s="5" t="s">
        <v>2401</v>
      </c>
      <c r="I3" s="5"/>
      <c r="J3" s="5" t="s">
        <v>2</v>
      </c>
    </row>
    <row r="4" ht="23" customHeight="1" spans="1:10">
      <c r="A4" s="6" t="s">
        <v>3</v>
      </c>
      <c r="B4" s="7" t="s">
        <v>66</v>
      </c>
      <c r="C4" s="7"/>
      <c r="D4" s="8" t="s">
        <v>2402</v>
      </c>
      <c r="E4" s="8"/>
      <c r="F4" s="9" t="s">
        <v>2403</v>
      </c>
      <c r="G4" s="9"/>
      <c r="H4" s="10" t="s">
        <v>2404</v>
      </c>
      <c r="I4" s="10"/>
      <c r="J4" s="10" t="s">
        <v>67</v>
      </c>
    </row>
    <row r="5" ht="23" customHeight="1" spans="1:10">
      <c r="A5" s="6" t="s">
        <v>68</v>
      </c>
      <c r="B5" s="6"/>
      <c r="C5" s="6"/>
      <c r="D5" s="6"/>
      <c r="E5" s="6"/>
      <c r="F5" s="6"/>
      <c r="G5" s="6"/>
      <c r="H5" s="6"/>
      <c r="I5" s="6"/>
      <c r="J5" s="10" t="s">
        <v>67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1"/>
  <pageMargins left="0.51968541666667" right="0.51968541666667" top="0.74803125" bottom="0" header="0" footer="0"/>
  <pageSetup paperSize="9" orientation="portrait"/>
  <headerFooter/>
  <rowBreaks count="1" manualBreakCount="1">
    <brk id="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工程项目清单汇总表</vt:lpstr>
      <vt:lpstr>分部分项工程项目清单计价表</vt:lpstr>
      <vt:lpstr>措施项目清单计价表</vt:lpstr>
      <vt:lpstr>其他项目清单计价表</vt:lpstr>
      <vt:lpstr>暂列金额明细表</vt:lpstr>
      <vt:lpstr>增值税计价表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建设</cp:lastModifiedBy>
  <dcterms:created xsi:type="dcterms:W3CDTF">2026-07-03T07:05:03Z</dcterms:created>
  <dcterms:modified xsi:type="dcterms:W3CDTF">2026-07-03T07:12:00Z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6C4069BB53A44B46A6BE44474640AB18_12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
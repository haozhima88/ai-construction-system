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workspace\01_Projects\ai-construction-system\uploads\new\new2\"/>
    </mc:Choice>
  </mc:AlternateContent>
  <xr:revisionPtr revIDLastSave="0" documentId="13_ncr:1_{63911F35-FCFA-43A1-974F-D54A485B895A}" xr6:coauthVersionLast="47" xr6:coauthVersionMax="47" xr10:uidLastSave="{00000000-0000-0000-0000-000000000000}"/>
  <bookViews>
    <workbookView xWindow="9780" yWindow="3340" windowWidth="18980" windowHeight="15370" firstSheet="3" activeTab="6" xr2:uid="{00000000-000D-0000-FFFF-FFFF00000000}"/>
  </bookViews>
  <sheets>
    <sheet name="工程项目清单汇总表" sheetId="1" r:id="rId1"/>
    <sheet name="分部分项工程项目清单计价表" sheetId="2" r:id="rId2"/>
    <sheet name="措施项目清单计价表" sheetId="3" r:id="rId3"/>
    <sheet name="其他项目清单计价表" sheetId="4" r:id="rId4"/>
    <sheet name="暂列金额明细表" sheetId="5" r:id="rId5"/>
    <sheet name="增值税计价表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7" i="7" l="1"/>
  <c r="F437" i="7"/>
  <c r="H437" i="7"/>
  <c r="S98" i="2"/>
  <c r="Q98" i="2"/>
  <c r="S20" i="2"/>
  <c r="R20" i="2"/>
  <c r="Q20" i="2"/>
  <c r="O20" i="2"/>
  <c r="N20" i="2"/>
</calcChain>
</file>

<file path=xl/sharedStrings.xml><?xml version="1.0" encoding="utf-8"?>
<sst xmlns="http://schemas.openxmlformats.org/spreadsheetml/2006/main" count="3573" uniqueCount="739">
  <si>
    <t>序号</t>
  </si>
  <si>
    <t>项目内容</t>
  </si>
  <si>
    <t>金额(元)</t>
  </si>
  <si>
    <t>1</t>
  </si>
  <si>
    <t>分部分项工程费</t>
  </si>
  <si>
    <t>93542353.04</t>
  </si>
  <si>
    <t>1.1</t>
  </si>
  <si>
    <t>土石方工程</t>
  </si>
  <si>
    <t>1005764.21</t>
  </si>
  <si>
    <t>1.2</t>
  </si>
  <si>
    <t>砌体工程</t>
  </si>
  <si>
    <t>1120024.97</t>
  </si>
  <si>
    <t>1.3</t>
  </si>
  <si>
    <t>混凝土工程</t>
  </si>
  <si>
    <t>15129568.46</t>
  </si>
  <si>
    <t>1.4</t>
  </si>
  <si>
    <t>模板工程</t>
  </si>
  <si>
    <t>17633959.93</t>
  </si>
  <si>
    <t>1.5</t>
  </si>
  <si>
    <t>钢筋工程</t>
  </si>
  <si>
    <t>23095423.81</t>
  </si>
  <si>
    <t>1.6</t>
  </si>
  <si>
    <t>钢结构工程</t>
  </si>
  <si>
    <t>13035525.05</t>
  </si>
  <si>
    <t>1.7</t>
  </si>
  <si>
    <t>屋面防水工程</t>
  </si>
  <si>
    <t>2931317.68</t>
  </si>
  <si>
    <t>1.8</t>
  </si>
  <si>
    <t>楼地面工程</t>
  </si>
  <si>
    <t>5531685.29</t>
  </si>
  <si>
    <t>1.9</t>
  </si>
  <si>
    <t>墙柱面工程</t>
  </si>
  <si>
    <t>6581041.33</t>
  </si>
  <si>
    <t>1.10</t>
  </si>
  <si>
    <t>天棚面工程</t>
  </si>
  <si>
    <t>3232762.49</t>
  </si>
  <si>
    <t>1.11</t>
  </si>
  <si>
    <t>门窗工程</t>
  </si>
  <si>
    <t>3829769.09</t>
  </si>
  <si>
    <t>1.12</t>
  </si>
  <si>
    <t>其他工程</t>
  </si>
  <si>
    <t>415510.73</t>
  </si>
  <si>
    <t>2</t>
  </si>
  <si>
    <t>措施项目费</t>
  </si>
  <si>
    <t>11109190.20</t>
  </si>
  <si>
    <t>2.1</t>
  </si>
  <si>
    <t>其中：安全生产措施项目</t>
  </si>
  <si>
    <t>3114634.81</t>
  </si>
  <si>
    <t>3</t>
  </si>
  <si>
    <t>其他项目费</t>
  </si>
  <si>
    <t>1724900.99</t>
  </si>
  <si>
    <t>3.1</t>
  </si>
  <si>
    <t>其中：暂列金额</t>
  </si>
  <si>
    <t/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</si>
  <si>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</si>
  <si>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</si>
  <si>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</si>
  <si>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</si>
  <si>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</si>
  <si>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</si>
  <si>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</si>
  <si>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</si>
  <si>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</si>
  <si>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</si>
  <si>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106376444.23</t>
  </si>
  <si>
    <t>5</t>
  </si>
  <si>
    <t>增值税</t>
  </si>
  <si>
    <t>9573879.98</t>
  </si>
  <si>
    <t>合  计</t>
  </si>
  <si>
    <t>115950324.21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</si>
  <si>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</si>
  <si>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</si>
  <si>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</si>
  <si>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</si>
  <si>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</si>
  <si>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</si>
  <si>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</si>
  <si>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挖基坑土方</t>
  </si>
  <si>
    <t>1、土壤类别:以地勘报告为准
2、挖土深度:综合考虑
3、开挖方式、类型:综合考虑
4、综合考虑按图纸和规范要求而实施、完成这项工程的一切有关费用</t>
  </si>
  <si>
    <t>m3</t>
  </si>
  <si>
    <t>挖基坑土方（桩间土）</t>
  </si>
  <si>
    <t>挖沟槽土方</t>
  </si>
  <si>
    <t>回填方</t>
  </si>
  <si>
    <t>1、密实度要求:满足设计要求
2、填方材料品种:满足设计要求
3、填方来源:项目原土
4、取土运距:投标人自行考虑
5、综合考虑按图纸和规范要求而实施、完成这项工程的一切有关费用</t>
  </si>
  <si>
    <t>外购土方资源费</t>
  </si>
  <si>
    <t>1、外购土方资源费</t>
  </si>
  <si>
    <t>砌块墙</t>
  </si>
  <si>
    <t>1、墙体类型:外墙
2、墙体厚度:200mm
3、砌块品种、规格、强度等级:蒸压加气混凝土砌块，A7.5
4、砂浆强度等级:M7.5专用砂浆
5、超高降效费综合考虑
6、综合考虑按图纸和规范要求而实施、完成这项工程的一切有关费用</t>
  </si>
  <si>
    <t>1、墙体类型:内墙
2、墙体厚度:200mm
3、砌块品种、规格、强度等级:蒸压加气混凝土砌块，A5.0
4、砂浆强度等级:M7.5专用砂浆
5、超高降效费综合考虑
6、综合考虑按图纸和规范要求而实施、完成这项工程的一切有关费用</t>
  </si>
  <si>
    <t>1、墙体类型:内墙
2、墙体厚度:100mm
3、砌块品种、规格、强度等级:蒸压加气混凝土砌块，A5.0
4、砂浆强度等级:M7.5专用砂浆
5、超高降效费综合考虑
6、综合考虑按图纸和规范要求而实施、完成这项工程的一切有关费用</t>
  </si>
  <si>
    <t>实心砖墙</t>
  </si>
  <si>
    <t>1、墙体类型:内墙
2、墙体厚度:200mm
3、砌块品种、规格、强度等级:MU20混凝土实心砖
4、砂浆强度等级:M10专用砂浆
5、超高降效费综合考虑
6、综合考虑按图纸和规范要求而实施、完成这项工程的一切有关费用</t>
  </si>
  <si>
    <t>隔墙板</t>
  </si>
  <si>
    <t>1、隔墙板
2、墙体厚度:200mm
3、轻钢龙骨双面纤维增强硅酸钙板和岩棉组成的复核防火板墙体
4、超高降效费综合考虑
5、综合考虑按图纸和规范要求而实施、完成这项工程的一切有关费用</t>
  </si>
  <si>
    <t>m2</t>
  </si>
  <si>
    <t>正负0以下</t>
  </si>
  <si>
    <t>现浇构混凝土垫层 C15</t>
  </si>
  <si>
    <t>1、混凝土种类:商品混凝土
2、混凝土强度等级:C15
3、综合考虑按图纸和规范要求而实施、完成这项工程的一切有关费用</t>
  </si>
  <si>
    <t>现浇构混凝土桩承台基础 C35 P8</t>
  </si>
  <si>
    <t>1、混凝土种类:泵送商品混凝土
2、混凝土强度等级:C35 P8
3、泵送高度50m以内，运距、塌落度综合考虑
4、综合考虑按图纸和规范要求而实施、完成这项工程的一切有关费用</t>
  </si>
  <si>
    <t>现浇混凝土柱 C50</t>
  </si>
  <si>
    <t>1、混凝土种类:泵送商品混凝土
2、混凝土强度等级:C50
3、泵送高度50m以内，运距、塌落度综合考虑
4、超高降效费综合考虑
5、综合考虑按图纸和规范要求而实施、完成这项工程的一切有关费用</t>
  </si>
  <si>
    <t>坡道混凝土圆柱 C40</t>
  </si>
  <si>
    <t>1、混凝土种类:泵送商品混凝土
2、混凝土强度等级:C40
3、泵送高度50m以内，运距、塌落度综合考虑
4、超高降效费综合考虑
5、综合考虑按图纸和规范要求而实施、完成这项工程的一切有关费用</t>
  </si>
  <si>
    <t>现浇构混凝土电梯坑 C35</t>
  </si>
  <si>
    <t>1、混凝土种类:泵送商品混凝土
2、混凝土强度等级:C35 
3、泵送高度50m以内，运距、塌落度综合考虑
4、综合考虑按图纸和规范要求而实施、完成这项工程的一切有关费用</t>
  </si>
  <si>
    <t>现浇混凝土墙 C40</t>
  </si>
  <si>
    <t>现浇构混凝土底板 C35</t>
  </si>
  <si>
    <t>现浇构混凝土基础梁 C35</t>
  </si>
  <si>
    <t>后浇带-基础梁 C40</t>
  </si>
  <si>
    <t>1、混凝土种类:泵送商品混凝土
2、混凝土强度等级:C40（掺加微膨胀剂，掺量8~10%） 
3、运距、塌落度综合考虑
4、综合考虑按图纸和规范要求而实施、完成这项工程的一切有关费用</t>
  </si>
  <si>
    <t>正负0以上</t>
  </si>
  <si>
    <t>现浇混凝土柱 C45</t>
  </si>
  <si>
    <t>1、混凝土种类:泵送商品混凝土
2、混凝土强度等级:C45
3、泵送高度50m以内，运距、塌落度综合考虑
4、超高降效费综合考虑
5、综合考虑按图纸和规范要求而实施、完成这项工程的一切有关费用</t>
  </si>
  <si>
    <t>现浇混凝土柱 C40</t>
  </si>
  <si>
    <t>现浇混凝土梁 C35</t>
  </si>
  <si>
    <t>1、混凝土种类:泵送商品混凝土
2、混凝土强度等级:C35
3、泵送高度50m以内，运距、塌落度综合考虑
4、超高降效费综合考虑
5、综合考虑按图纸和规范要求而实施、完成这项工程的一切有关费用</t>
  </si>
  <si>
    <t>现浇混凝土梁 C40</t>
  </si>
  <si>
    <t>现浇混凝土板 C35</t>
  </si>
  <si>
    <t>现浇混凝土板 C40</t>
  </si>
  <si>
    <t>现浇混凝雨蓬 C25</t>
  </si>
  <si>
    <t>1、混凝土种类:商品混凝土
2、混凝土强度等级:C25
3、超高降效费综合考虑
4、综合考虑按图纸和规范要求而实施、完成这项工程的一切有关费用</t>
  </si>
  <si>
    <t>现浇混凝坡道板 C35</t>
  </si>
  <si>
    <t>现浇混凝坡道板 C40</t>
  </si>
  <si>
    <t>现浇混凝反檐 C25</t>
  </si>
  <si>
    <t>现浇混凝压顶 C25</t>
  </si>
  <si>
    <t>现浇混凝楼梯 C35</t>
  </si>
  <si>
    <t>现浇混凝楼梯 C40</t>
  </si>
  <si>
    <t>现浇混凝构造柱 C25</t>
  </si>
  <si>
    <t>现浇混凝圈梁、过梁 C25</t>
  </si>
  <si>
    <t>填充混凝土 C35</t>
  </si>
  <si>
    <t>后浇带-梁C40</t>
  </si>
  <si>
    <t>1、混凝土种类:商品混凝土
2、混凝土强度等级:C40（掺加微膨胀剂，掺量8~10%）
3、超高降效费综合考虑
4、综合考虑按图纸和规范要求而实施、完成这项工程的一切有关费用</t>
  </si>
  <si>
    <t>后浇带-梁C45</t>
  </si>
  <si>
    <t>1、混凝土种类:商品混凝土
2、混凝土强度等级:C45（掺加微膨胀剂，掺量8~10%）
3、超高降效费综合考虑
4、综合考虑按图纸和规范要求而实施、完成这项工程的一切有关费用</t>
  </si>
  <si>
    <t>后浇带-板C40</t>
  </si>
  <si>
    <t>后浇带-板C45</t>
  </si>
  <si>
    <t>基础模板</t>
  </si>
  <si>
    <t>1、独立基础模板
2、综合考虑按图纸和规范要求而实施、完成这项工程的一切有关费用</t>
  </si>
  <si>
    <t>基础联系梁模板</t>
  </si>
  <si>
    <t>1、基础梁模板
2、综合考虑按图纸和规范要求而实施、完成这项工程的一切有关费用</t>
  </si>
  <si>
    <t>基础垫层模板</t>
  </si>
  <si>
    <t>1、基础垫层模板
2、综合考虑按图纸和规范要求而实施、完成这项工程的一切有关费用</t>
  </si>
  <si>
    <t>1、满堂基础模板
2、综合考虑按图纸和规范要求而实施、完成这项工程的一切有关费用</t>
  </si>
  <si>
    <t>柱面模板</t>
  </si>
  <si>
    <t>1、柱模板 矩形柱模板(周长m) 支模高度3.6m内 1.8外
2、综合考虑按图纸和规范要求而实施、完成这项工程的一切有关费用</t>
  </si>
  <si>
    <t>1、圆形柱模板(木支撑) 支模高度5.6m内
2、综合考虑按图纸和规范要求而实施、完成这项工程的一切有关费用</t>
  </si>
  <si>
    <t>反檐模板</t>
  </si>
  <si>
    <t>1、反檐模板
2、综合考虑按图纸和规范要求而实施、完成这项工程的一切有关费用</t>
  </si>
  <si>
    <t>墙面模板</t>
  </si>
  <si>
    <t>1、墙模板 直形墙模板 墙厚(cm以内) 40 支模高度5.6m
2、综合考虑按图纸和规范要求而实施、完成这项工程的一切有关费用</t>
  </si>
  <si>
    <t>楼板、屋面板模板</t>
  </si>
  <si>
    <t>1、板模板 有梁板模板 支模高度3.6m
2、综合考虑按图纸和规范要求而实施、完成这项工程的一切有关费用</t>
  </si>
  <si>
    <t>后浇带-基础梁模板</t>
  </si>
  <si>
    <t>1、后浇带-基础梁模板
2、综合考虑按图纸和规范要求而实施、完成这项工程的一切有关费用</t>
  </si>
  <si>
    <t>1.柱模板 矩形柱模板(周长m) 支模高度10.6m 1.8外
2、综合考虑按图纸和规范要求而实施、完成这项工程的一切有关费用</t>
  </si>
  <si>
    <t>1、柱模板 矩形柱模板(周长m) 支模高度10.6m 1.8内
2、综合考虑按图纸和规范要求而实施、完成这项工程的一切有关费用</t>
  </si>
  <si>
    <t>1.柱模板 矩形柱模板(周长m) 支模高度8.6m 1.8外
2、综合考虑按图纸和规范要求而实施、完成这项工程的一切有关费用</t>
  </si>
  <si>
    <t>1、柱模板 矩形柱模板(周长m) 支模高度8.6m 1.8内
2、综合考虑按图纸和规范要求而实施、完成这项工程的一切有关费用</t>
  </si>
  <si>
    <t>1、圆形柱模板(木支撑) 支模高度10.5m内
2、综合考虑按图纸和规范要求而实施、完成这项工程的一切有关费用</t>
  </si>
  <si>
    <t>1、墙模板 直形墙模板 墙厚(cm以内) 40 支模高度3.6m
2、综合考虑按图纸和规范要求而实施、完成这项工程的一切有关费用</t>
  </si>
  <si>
    <t>梁模板</t>
  </si>
  <si>
    <t>1、梁模板 单梁、连续梁模板(梁宽cm) 25以外 支模高度4.6m
2、综合考虑按图纸和规范要求而实施、完成这项工程的一切有关费用</t>
  </si>
  <si>
    <t>1、梁模板 单梁、连续梁模板(梁宽cm) 25以内 支模高度5.6m
2、综合考虑按图纸和规范要求而实施、完成这项工程的一切有关费用</t>
  </si>
  <si>
    <t>1、梁模板 单梁、连续梁模板(梁宽cm) 25以外 支模高度5.6m
2、综合考虑按图纸和规范要求而实施、完成这项工程的一切有关费用</t>
  </si>
  <si>
    <t>1、梁模板 单梁、连续梁(梁宽cm) 25以内 支模高度10.6m
2、综合考虑按图纸和规范要求而实施、完成这项工程的一切有关费用</t>
  </si>
  <si>
    <t>1、梁模板 单梁、连续梁(梁宽cm) 25以外 支模高度10.2m
2、综合考虑按图纸和规范要求而实施、完成这项工程的一切有关费用</t>
  </si>
  <si>
    <t>1、板模板 有梁板模板 支模高度4.6m
2、综合考虑按图纸和规范要求而实施、完成这项工程的一切有关费用</t>
  </si>
  <si>
    <t>1、板模板 有梁板模板 支模高度5.6m
2、综合考虑按图纸和规范要求而实施、完成这项工程的一切有关费用</t>
  </si>
  <si>
    <t>1、板模板 有梁板模板 支模高度7.9m
2、综合考虑按图纸和规范要求而实施、完成这项工程的一切有关费用</t>
  </si>
  <si>
    <t>1、板模板 有梁板模板 支模高度10.6m
2、综合考虑按图纸和规范要求而实施、完成这项工程的一切有关费用</t>
  </si>
  <si>
    <t>坡道板模板</t>
  </si>
  <si>
    <t>1、板模板 有梁板模板 支模高度7.79m以内
2、综合考虑按图纸和规范要求而实施、完成这项工程的一切有关费用</t>
  </si>
  <si>
    <t>1、板模板 有梁板模板 支模高度5.6m以内
2、综合考虑按图纸和规范要求而实施、完成这项工程的一切有关费用</t>
  </si>
  <si>
    <t>1、板模板 有梁板模板 支模高度3.6m以内
2、综合考虑按图纸和规范要求而实施、完成这项工程的一切有关费用</t>
  </si>
  <si>
    <t>楼梯模板</t>
  </si>
  <si>
    <t>1、楼梯模板 直形
2、综合考虑按图纸和规范要求而实施、完成这项工程的一切有关费用</t>
  </si>
  <si>
    <t>构造柱模板</t>
  </si>
  <si>
    <t>1、柱模板 矩形柱模板(周长m) 支模高度4.6m 1.2内
2、综合考虑按图纸和规范要求而实施、完成这项工程的一切有关费用</t>
  </si>
  <si>
    <t>1、柱模板 矩形柱模板(周长m) 支模高度5.6m 1.2内
2、综合考虑按图纸和规范要求而实施、完成这项工程的一切有关费用</t>
  </si>
  <si>
    <t>1、柱模板 矩形柱模板(周长m) 支模高度8.6m 1.2内
2、综合考虑按图纸和规范要求而实施、完成这项工程的一切有关费用</t>
  </si>
  <si>
    <t>1、柱模板 矩形柱模板(周长m) 支模高度10.6m 1.2内
2、综合考虑按图纸和规范要求而实施、完成这项工程的一切有关费用</t>
  </si>
  <si>
    <t>圈梁、过梁模板</t>
  </si>
  <si>
    <t>1、梁模板 圈梁模板
2、综合考虑按图纸和规范要求而实施、完成这项工程的一切有关费用</t>
  </si>
  <si>
    <t>雨蓬模板</t>
  </si>
  <si>
    <t>1、阳台、雨蓬模板 直形
2、综合考虑按图纸和规范要求而实施、完成这项工程的一切有关费用</t>
  </si>
  <si>
    <t>后浇带-梁模板</t>
  </si>
  <si>
    <t>1、后浇带-梁模板
2、综合考虑按图纸和规范要求而实施、完成这项工程的一切有关费用</t>
  </si>
  <si>
    <t>后浇带-板模板</t>
  </si>
  <si>
    <t>1、后浇带-板模板
2、综合考虑按图纸和规范要求而实施、完成这项工程的一切有关费用</t>
  </si>
  <si>
    <t>现浇构件钢筋</t>
  </si>
  <si>
    <t>1、钢筋种类、规格:Ⅲ级螺纹钢 Φ10以内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</si>
  <si>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t</t>
  </si>
  <si>
    <t>1、钢筋种类、规格:Ⅲ级螺纹钢 Φ12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</si>
  <si>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Φ14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</si>
  <si>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Φ16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</si>
  <si>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Φ18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</si>
  <si>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Φ20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</si>
  <si>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</si>
  <si>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Φ25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</si>
  <si>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Φ28~32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</si>
  <si>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现浇构件钢筋（带E）</t>
  </si>
  <si>
    <t>1、钢筋种类、规格:Ⅲ级螺纹钢 Φ20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</si>
  <si>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Φ22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</si>
  <si>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Φ25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</si>
  <si>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Φ28-32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</si>
  <si>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Φ40以内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</si>
  <si>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现浇构件钢筋（箍筋）</t>
  </si>
  <si>
    <t>1、钢筋种类、规格:Ⅰ级圆钢 Φ10以内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</si>
  <si>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Φ16-25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</si>
  <si>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机械连接</t>
  </si>
  <si>
    <t>1、连接方式:套筒连接
2、规格:Φ18
3、综合考虑按图纸和规范要求而实施、完成这项工程的一切有关费用</t>
  </si>
  <si>
    <t>个</t>
  </si>
  <si>
    <t>1、连接方式:套筒连接
2、规格:Φ20
3、综合考虑按图纸和规范要求而实施、完成这项工程的一切有关费用</t>
  </si>
  <si>
    <t>1、连接方式:套筒连接
2、规格:Φ22
3、综合考虑按图纸和规范要求而实施、完成这项工程的一切有关费用</t>
  </si>
  <si>
    <t>1、连接方式:套筒连接
2、规格:Φ25
3、综合考虑按图纸和规范要求而实施、完成这项工程的一切有关费用</t>
  </si>
  <si>
    <t>1、连接方式:套筒连接
2、规格:Φ28
3、综合考虑按图纸和规范要求而实施、完成这项工程的一切有关费用</t>
  </si>
  <si>
    <t>1、连接方式:套筒连接
2、规格:Φ32
3、综合考虑按图纸和规范要求而实施、完成这项工程的一切有关费用</t>
  </si>
  <si>
    <t>1、连接方式:套筒连接
2、规格:Φ40
3、综合考虑按图纸和规范要求而实施、完成这项工程的一切有关费用</t>
  </si>
  <si>
    <t>1、钢筋种类、规格:Ⅲ级螺纹钢 Φ10以内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</si>
  <si>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Φ12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</si>
  <si>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Φ14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</si>
  <si>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Φ16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</si>
  <si>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Φ18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</si>
  <si>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Φ20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</si>
  <si>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Φ22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</si>
  <si>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Φ25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</si>
  <si>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Φ10
2、钢筋类型:抗震钢筋
3、超高降效费综合考虑
4、综合考虑按图纸和规范要求而实施、完成这项工程的一切有关费用</t>
  </si>
  <si>
    <t>1、钢筋种类、规格:Ⅲ级螺纹钢 Φ12
2、钢筋类型:抗震钢筋
3、超高降效费综合考虑
4、综合考虑按图纸和规范要求而实施、完成这项工程的一切有关费用</t>
  </si>
  <si>
    <t>1、钢筋种类、规格:Ⅲ级螺纹钢 Φ14
2、钢筋类型:抗震钢筋
3、超高降效费综合考虑
4、综合考虑按图纸和规范要求而实施、完成这项工程的一切有关费用</t>
  </si>
  <si>
    <t>1、钢筋种类、规格:Ⅲ级螺纹钢 Φ16
2、钢筋类型:抗震钢筋
3、超高降效费综合考虑
4、综合考虑按图纸和规范要求而实施、完成这项工程的一切有关费用</t>
  </si>
  <si>
    <t>1、钢筋种类、规格:Ⅲ级螺纹钢 Φ18
2、钢筋类型:抗震钢筋
3、超高降效费综合考虑
4、综合考虑按图纸和规范要求而实施、完成这项工程的一切有关费用</t>
  </si>
  <si>
    <t>1、钢筋种类、规格:Ⅲ级螺纹钢 Φ20
2、钢筋类型:抗震钢筋
3、超高降效费综合考虑
4、综合考虑按图纸和规范要求而实施、完成这项工程的一切有关费用</t>
  </si>
  <si>
    <t>1、钢筋种类、规格:Ⅲ级螺纹钢 Φ22
2、钢筋类型:抗震钢筋
3、超高降效费综合考虑
4、综合考虑按图纸和规范要求而实施、完成这项工程的一切有关费用</t>
  </si>
  <si>
    <t>1、钢筋种类、规格:Ⅲ级螺纹钢 Φ25
2、钢筋类型:抗震钢筋
3、超高降效费综合考虑
4、综合考虑按图纸和规范要求而实施、完成这项工程的一切有关费用</t>
  </si>
  <si>
    <t>1、钢筋种类、规格:Ⅲ级螺纹钢 Φ28-32
2、钢筋类型:抗震钢筋
3、超高降效费综合考虑
4、综合考虑按图纸和规范要求而实施、完成这项工程的一切有关费用</t>
  </si>
  <si>
    <t>1、钢筋种类、规格:Ⅲ级螺纹钢 Φ40以内
2、钢筋类型:抗震钢筋
3、超高降效费综合考虑
4、综合考虑按图纸和规范要求而实施、完成这项工程的一切有关费用</t>
  </si>
  <si>
    <t>1、钢筋种类、规格:Ⅲ级螺纹钢 Φ50以内
2、钢筋类型:抗震钢筋
3、超高降效费综合考虑
4、综合考虑按图纸和规范要求而实施、完成这项工程的一切有关费用</t>
  </si>
  <si>
    <t>1、钢筋种类、规格:Ⅳ级螺纹钢 Ф10
2、钢筋类型:抗震钢筋
3、超高降效费综合考虑
4、综合考虑按图纸和规范要求而实施、完成这项工程的一切有关费用</t>
  </si>
  <si>
    <t>1、钢筋种类、规格:Ⅳ级螺纹钢 Ф12-14
2、钢筋类型:抗震钢筋
3、超高降效费综合考虑
4、综合考虑按图纸和规范要求而实施、完成这项工程的一切有关费用</t>
  </si>
  <si>
    <t>1、钢筋种类、规格:Ⅳ级螺纹钢 Ф16-25
2、钢筋类型:抗震钢筋
3、超高降效费综合考虑
4、综合考虑按图纸和规范要求而实施、完成这项工程的一切有关费用</t>
  </si>
  <si>
    <t>1、钢筋种类、规格:Ⅳ级螺纹钢 Ф28-32
2、钢筋类型:抗震钢筋
3、超高降效费综合考虑
4、综合考虑按图纸和规范要求而实施、完成这项工程的一切有关费用</t>
  </si>
  <si>
    <t>1、钢筋种类、规格:Ⅰ级圆钢 Φ10以内
2、钢筋类型:非抗震钢筋
3、超高降效费综合考虑
4、综合考虑按图纸和规范要求而实施、完成这项工程的一切有关费用</t>
  </si>
  <si>
    <t>1、钢筋种类、规格:Ⅲ级螺纹钢 Φ10以内
2、钢筋类型:非抗震钢筋
3、超高降效费综合考虑
4、综合考虑按图纸和规范要求而实施、完成这项工程的一切有关费用</t>
  </si>
  <si>
    <t>1、钢筋种类、规格:Ⅲ级螺纹钢 Ф12-14
2、钢筋类型:非抗震钢筋
3、超高降效费综合考虑
4、综合考虑按图纸和规范要求而实施、完成这项工程的一切有关费用</t>
  </si>
  <si>
    <t>1、钢筋种类、规格:Ⅲ级螺纹钢 Φ16-25
2、钢筋类型:非抗震钢筋
3、超高降效费综合考虑
4、综合考虑按图纸和规范要求而实施、完成这项工程的一切有关费用</t>
  </si>
  <si>
    <t>预应力钢绞线(缓粘结)</t>
  </si>
  <si>
    <t>1、钢筋种类、规格：后张法预应力钢绞线 缓粘结
2、预应力位置：框架梁及次梁
3、超高降效费综合考虑
4、综合考虑按图纸和规范要求而实施、完成这项工程的一切有关费用</t>
  </si>
  <si>
    <t>锚具安装</t>
  </si>
  <si>
    <t>1、锚具安装 群锚
2、超高降效费综合考虑
3、综合考虑按图纸和规范要求而实施、完成这项工程的一切有关费用</t>
  </si>
  <si>
    <t>套</t>
  </si>
  <si>
    <t>1、连接方式:套筒连接
2、规格:Φ18
3、超高降效费综合考虑
4、综合考虑按图纸和规范要求而实施、完成这项工程的一切有关费用</t>
  </si>
  <si>
    <t>1、连接方式:套筒连接
2、规格:Φ20
3、超高降效费综合考虑
4、综合考虑按图纸和规范要求而实施、完成这项工程的一切有关费用</t>
  </si>
  <si>
    <t>1、连接方式:套筒连接
2、规格:Φ22
3、超高降效费综合考虑
4、综合考虑按图纸和规范要求而实施、完成这项工程的一切有关费用</t>
  </si>
  <si>
    <t>1、连接方式:套筒连接
2、规格:Φ25
3、超高降效费综合考虑
4、综合考虑按图纸和规范要求而实施、完成这项工程的一切有关费用</t>
  </si>
  <si>
    <t>1、连接方式:套筒连接
2、规格:Φ28
3、超高降效费综合考虑
4、综合考虑按图纸和规范要求而实施、完成这项工程的一切有关费用</t>
  </si>
  <si>
    <t>1、连接方式:套筒连接
2、规格:Φ32
3、超高降效费综合考虑
4、综合考虑按图纸和规范要求而实施、完成这项工程的一切有关费用</t>
  </si>
  <si>
    <t>1、连接方式:套筒连接
2、规格:Φ36
3、超高降效费综合考虑
4、综合考虑按图纸和规范要求而实施、完成这项工程的一切有关费用</t>
  </si>
  <si>
    <t>1、连接方式:套筒连接
2、规格:Φ40
3、超高降效费综合考虑
4、综合考虑按图纸和规范要求而实施、完成这项工程的一切有关费用</t>
  </si>
  <si>
    <t>1、连接方式:套筒连接
2、规格:Φ50
3、超高降效费综合考虑
4、综合考虑按图纸和规范要求而实施、完成这项工程的一切有关费用</t>
  </si>
  <si>
    <t>屋面及雨棚部分等</t>
  </si>
  <si>
    <t>钢柱</t>
  </si>
  <si>
    <t>1、钢立柱
2、钢材品种、规格：Q235B 
3、钢构件表面采用喷砂除锈,除锈质量等级为Sa2.5级
4、金属结构件场外运输 运距综合考虑
5、超高降效费综合考虑
6、综合考虑按图纸和规范要求而实施、完成这项工程的一切有关费用</t>
  </si>
  <si>
    <t>钢梁</t>
  </si>
  <si>
    <t>1、型钢梁
2、钢材品种、规格：Q355B型钢梁
3、钢构件表面采用喷砂除锈,除锈质量等级为Sa2.5级
4、金属结构件场外运输 运距综合考虑
5、超高降效费综合考虑
6、综合考虑按图纸和规范要求而实施、完成这项工程的一切有关费用</t>
  </si>
  <si>
    <t>钢拉条</t>
  </si>
  <si>
    <t>1、钢拉条
2、钢材品种、规格：热镀锌Q235B、圆钢φ12mm、套管φ32.5*2.5、圆管φ219x5.0、圆管φ168x4.0、圆管φ114x5.0
3、钢构件表面采用喷砂除锈,除锈质量等级为Sa2.5级
4、金属结构件场外运输 运距综合考虑
5、超高降效费综合考虑
6、综合考虑按图纸和规范要求而实施、完成这项工程的一切有关费用</t>
  </si>
  <si>
    <t>隅撑</t>
  </si>
  <si>
    <t>1、隅撑
2、钢材品种、规格：热镀锌Q235B 角钢L63*5.0、角钢L40*4
3、钢构件表面采用喷砂除锈,除锈质量等级为Sa2.5级
4、金属结构件场外运输 运距综合考虑
5、超高降效费综合考虑
6、综合考虑按图纸和规范要求而实施、完成这项工程的一切有关费用</t>
  </si>
  <si>
    <t>钢檩条</t>
  </si>
  <si>
    <t>1、钢檩条
2、钢材品种、规格：热镀锌Q355B C型钢、XZ型钢
3、钢构件表面采用喷砂除锈,除锈质量等级为Sa2.5级
4、金属结构件场外运输 运距综合考虑
5、超高降效费综合考虑
6、综合考虑按图纸和规范要求而实施、完成这项工程的一切有关费用</t>
  </si>
  <si>
    <t>不锈钢护角</t>
  </si>
  <si>
    <t>1、L50*50*0.6厚不锈钢护角
2、综合考虑按图纸和规范要求而实施、完成这项工程的一切有关费用</t>
  </si>
  <si>
    <t>m</t>
  </si>
  <si>
    <t>雨棚彩钢板封边</t>
  </si>
  <si>
    <t>1、雨棚0.6厚彩钢板封边
2、综合考虑按图纸和规范要求而实施、完成这项工程的一切有关费用</t>
  </si>
  <si>
    <t>泛水板</t>
  </si>
  <si>
    <t>1、泛水镀锌钢板0.6厚
2、综合考虑按图纸和规范要求而实施、完成这项工程的一切有关费用</t>
  </si>
  <si>
    <t>2.4厚塑钢瓦(屋面材料)钢板泛水板</t>
  </si>
  <si>
    <t>1、2.4厚塑钢瓦(屋面材料)钢板泛水板
2、综合考虑按图纸和规范要求而实施、完成这项工程的一切有关费用</t>
  </si>
  <si>
    <t>钢天沟</t>
  </si>
  <si>
    <t>1、材质：1.2厚不锈钢板内天沟
2、沟宽度：500mm×300mm
3、包含钢骨架、安装辅材等
4、超高降效费综合考虑
5、综合考虑按图纸和规范要求而实施、完成这项工程的一切有关费用</t>
  </si>
  <si>
    <t>钢檐沟</t>
  </si>
  <si>
    <t>1、材质：3厚不锈钢板内天沟
2、沟宽度：500mm×500mm
3、做法参图集15J207-1
4、超高降效费综合考虑
5、综合考虑按图纸和规范要求而实施、完成这项工程的一切有关费用</t>
  </si>
  <si>
    <t>金属面油漆（室外）</t>
  </si>
  <si>
    <t>1、构件名称:室外钢构件（镀锌构件除外）
2、底层漆油漆品种、刷漆遍数:环氧富锌底漆二道干膜厚度不小于70 μm
3、中间漆油漆品种、刷漆遍数:环氧云铁中间漆一道
干膜厚度不小于60 μm
4、面层漆油漆品种、刷漆遍数:两道聚氨酯面漆干膜厚度不小于70μm
5、建筑物超高增加人工、机械降效率高度30m
6、综合考虑按图纸和规范要求而实施、完成这项工程的一切有关费用</t>
  </si>
  <si>
    <t>金属面油漆（室内）</t>
  </si>
  <si>
    <t>1、构件名称:室内钢构件（镀锌构件除外）
2、底层漆油漆品种、刷漆遍数:醇酸底漆2遍干膜厚度不小于60μm
3、面层漆油漆品种、刷漆遍数:醇酸面漆2遍干膜厚度不小于60μm
4、建筑物超高增加人工、机械降效率高度30m
5、综合考虑按图纸和规范要求而实施、完成这项工程的一切有关费用</t>
  </si>
  <si>
    <t>雨棚面板</t>
  </si>
  <si>
    <t>1、0.6厚镀铝锌压型钢板
2、超高降效费综合考虑
3、综合考虑按图纸和规范要求而实施、完成这项工程的一切有关费用</t>
  </si>
  <si>
    <t>雨棚底板</t>
  </si>
  <si>
    <t>1、0.4mm厚镀铝锌压型钢板
2、超高降效费综合考虑
3、综合考虑按图纸和规范要求而实施、完成这项工程的一切有关费用</t>
  </si>
  <si>
    <t>钢结构防火涂料</t>
  </si>
  <si>
    <t>1、钢结构防火涂料
2、耐火极限(小时)2，非膨胀型，防火保护层厚度(mm)≥22
3、综合考虑按图纸和规范要求而实施、完成这项工程的一切有关费用</t>
  </si>
  <si>
    <t>1、钢结构防火涂料
2、耐火极限(小时)3，非膨胀型，防火保护层厚度(mm)≥36
3、综合考虑按图纸和规范要求而实施、完成这项工程的一切有关费用</t>
  </si>
  <si>
    <t>无收缩混凝土灌浆料</t>
  </si>
  <si>
    <t>1、混凝土种类:无收缩混凝土
2、混凝土强度等级:C40
3、综合考虑按图纸和规范要求而实施、完成这项工程的一切有关费用</t>
  </si>
  <si>
    <t>防火岩棉</t>
  </si>
  <si>
    <t>1、防火岩棉 制安
2、综合考虑按图纸和规范要求而实施、完成这项工程的一切有关费用</t>
  </si>
  <si>
    <t>高强螺栓</t>
  </si>
  <si>
    <t>1、高强螺栓 M12
2、综合考虑按图纸和规范要求而实施、完成这项工程的一切有关费用</t>
  </si>
  <si>
    <t>1、高强螺栓 M14
2、综合考虑按图纸和规范要求而实施、完成这项工程的一切有关费用</t>
  </si>
  <si>
    <t>1、高强螺栓 M20
2、综合考虑按图纸和规范要求而实施、完成这项工程的一切有关费用</t>
  </si>
  <si>
    <t>1、高强螺栓 M22
2、综合考虑按图纸和规范要求而实施、完成这项工程的一切有关费用</t>
  </si>
  <si>
    <t>1、高强螺栓 M24
2、综合考虑按图纸和规范要求而实施、完成这项工程的一切有关费用</t>
  </si>
  <si>
    <t>1、高强螺栓 M30
2、综合考虑按图纸和规范要求而实施、完成这项工程的一切有关费用</t>
  </si>
  <si>
    <t>墙面彩钢板部分</t>
  </si>
  <si>
    <t>1、钢立柱
2、钢材品种、规格：热浸镀锌Q235B U型钢41*41*2.5、U51X65(δ≥3mm)热浸镀锌槽钢
3、金属结构件场外运输 运距综合考虑
4、超高降效费综合考虑
5、综合考虑按图纸和规范要求而实施、完成这项工程的一切有关费用</t>
  </si>
  <si>
    <t>1、钢拉条
2、钢材品种、规格：热镀锌Q235B、圆钢φ12mm、套管φ32.5*2.5
3、金属结构件场外运输 运距综合考虑
4、超高降效费综合考虑
5、综合考虑按图纸和规范要求而实施、完成这项工程的一切有关费用</t>
  </si>
  <si>
    <t>1、钢檩条
2、钢材品种、规格：热镀锌Q355B C型钢300*80*20*2.0、300x80x20x2.5、300x80x20x3、300x80x20x3.5
3、金属结构件场外运输 运距综合考虑
4、超高降效费综合考虑
5、综合考虑按图纸和规范要求而实施、完成这项工程的一切有关费用</t>
  </si>
  <si>
    <t>1、钢结构防火涂料
2、耐火极限(小时)1.5，膨胀型，防火保护层厚度(mm)≥1.5
3、综合考虑按图纸和规范要求而实施、完成这项工程的一切有关费用</t>
  </si>
  <si>
    <t>化学螺栓</t>
  </si>
  <si>
    <t>1、化学螺栓 M12
2、材质：304不锈钢
3、超高降效费综合考虑
4、综合考虑按图纸和规范要求而实施、完成这项工程的一切有关费用</t>
  </si>
  <si>
    <t>1、高强螺栓 M16
2、综合考虑按图纸和规范要求而实施、完成这项工程的一切有关费用</t>
  </si>
  <si>
    <t>屋1.混凝土平屋面（倒置式屋面，一级防水,有保温层）</t>
  </si>
  <si>
    <t>屋面涂膜防水</t>
  </si>
  <si>
    <t>1、2.5mm厚非固化橡胶沥青防水涂料。在出屋面的墙体、阴阳角、管道根部、烟气道根部、屋面泛水、排水（水落）口、上屋面门槛外侧、变形缝等节点做防水附加增强层，防水附加增强层采用2.0厚聚合物水泥防水涂料并粘贴聚酯无纺布胎体增强，附加层宽度应按加强部位的每个方向外扩300。
2、防水搭接、附加层及加强层等综合考虑
3、超高降效费综合考虑
4、综合考虑按图纸和规范要求而实施、完成这项工程的一切有关费用</t>
  </si>
  <si>
    <t>屋面卷材防水</t>
  </si>
  <si>
    <t>1、3.0mm厚自粘聚合物改性沥青防水卷材(PY类Ⅰ型)
2、3.0mm厚自粘聚合物改性沥青防水卷材(PY类Ⅰ型)
3、防水搭接、附加层及加强层等综合考虑
4、超高降效费综合考虑
5、综合考虑按图纸和规范要求而实施、完成这项工程的一切有关费用</t>
  </si>
  <si>
    <t>保温隔热屋面</t>
  </si>
  <si>
    <t>1、50厚挤塑聚苯板（燃烧性能等级B1级，抗压强度≥150KPa，容重≥32kg/m³，采用5厚胶粘剂粘结，保温板的下部排水方向边缘应设排水凹槽）
2、超高降效费综合考虑
3、综合考虑按图纸和规范要求而实施、完成这项工程的一切有关费用</t>
  </si>
  <si>
    <t>隔离层防腐</t>
  </si>
  <si>
    <t>1、干铺无纺聚酯纤维布一层，不应小于200g/m²
2、超高降效费综合考虑
3、综合考虑按图纸和规范要求而实施、完成这项工程的一切有关费用</t>
  </si>
  <si>
    <t>屋面刚性层</t>
  </si>
  <si>
    <t>1、50厚C25UEA补偿收缩细石砼（掺水泥用量12％），表面压光，内配Ф4@150双向焊接钢筋网片，置于中上部，保护层≥10mm，屋面面积超过30m²时，设分格缝≤3x3m（缝处钢筋网须断开），缝宽20mm，深40mm，与女儿墙及山墙交接处留30mm宽深缝，内嵌填聚乙烯泡沫棒，面嵌填7厚单组份聚氨酯密封胶
2、超高降效费综合考虑
3、综合考虑按图纸和规范要求而实施、完成这项工程的一切有关费用</t>
  </si>
  <si>
    <t>屋2.金属压型板屋面</t>
  </si>
  <si>
    <t>钢屋面板</t>
  </si>
  <si>
    <t>1、2.4mm厚塑钢瓦（0.6mm厚压型镀铝锌钢板覆1.8mmTPO防水卷材），（钢板镀铝锌量不小于165q/m²，防水卷材采用灰色）
2、75厚离心玻璃棉保温层带单层铝箔隔热透气层(综合燃烧性能A级)
3、单价综合考虑屋脊、变形缝、SUS316不锈钢夹具等
4、超高降效费综合考虑
5、综合考虑按图纸和规范要求而实施、完成这项工程的一切有关费用</t>
  </si>
  <si>
    <t>包塑钢绞线</t>
  </si>
  <si>
    <t>1、钢筋种类、规格：1.5包塑钢绞线
2、预应力位置：压型钢板屋面
3、超高降效费综合考虑
4、综合考虑按图纸和规范要求而实施、完成这项工程的一切有关费用</t>
  </si>
  <si>
    <t>电梯基坑地防1（底板，一级防水）</t>
  </si>
  <si>
    <t>电梯基坑卷材防水</t>
  </si>
  <si>
    <t>1、防水层（工作年限不低于工程结构设计工作年限）：（上）3.0厚自粘聚合物改性沥青防水卷材(聚酯胎基)自粘搭接，（下）3.0厚自粘聚合物改性沥青防水卷材(聚酯胎基)自粘搭接。
2、综合考虑按图纸和规范要求而实施、完成这项工程的一切有关费用</t>
  </si>
  <si>
    <t>电梯基坑地防2（侧壁，一级防水）</t>
  </si>
  <si>
    <t>墙面卷材防水</t>
  </si>
  <si>
    <t>1、（1）4.0厚弹性体(SBS)改性沥青防水卷材(II型)，（2）3.0厚弹性体(SBS)改性沥青防水卷材(II型)。两道防水层均上翻500与地下室顶板相交，遇地上墙柱上翻超过场地完成面500，下翻及上翻转角处增加卷材防水层一层，每边＞300。
2、综合考虑按图纸和规范要求而实施、完成这项工程的一切有关费用</t>
  </si>
  <si>
    <t>保温隔热墙面</t>
  </si>
  <si>
    <t>1、30厚厚聚苯乙烯泡沫塑料板（32kg/m³）保护层,用聚醋酸乙烯胶粘剂条粘或点粘,与基层粘贴牢固
2、综合考虑按图纸和规范要求而实施、完成这项工程的一切有关费用</t>
  </si>
  <si>
    <t>池1：消防水池、屋顶消防水箱构造作法</t>
  </si>
  <si>
    <t>水泥砂浆楼地面(池底)</t>
  </si>
  <si>
    <t>1、15厚M20水泥砂浆找平层
2、超高降效费综合考虑
3、综合考虑按图纸和规范要求而实施、完成这项工程的一切有关费用</t>
  </si>
  <si>
    <t>楼(地)面涂膜防水(池底)</t>
  </si>
  <si>
    <t>1、2.0mm厚聚合物水泥防水涂料（Ⅱ型）
2、超高降效费综合考虑
3、综合考虑按图纸和规范要求而实施、完成这项工程的一切有关费用</t>
  </si>
  <si>
    <t>楼(地)面砂浆防水(池底)</t>
  </si>
  <si>
    <t>1、10厚聚合物水泥防水砂浆,应分遍抹,每次不能大于5mm
2、超高降效费综合考虑
3、综合考虑按图纸和规范要求而实施、完成这项工程的一切有关费用</t>
  </si>
  <si>
    <t>墙面一般抹灰(池壁)</t>
  </si>
  <si>
    <t>墙面涂膜防水(池壁)</t>
  </si>
  <si>
    <t>墙面砂浆防水(池壁)</t>
  </si>
  <si>
    <t>地1：地砖地面一（用于分拣用房、楼梯间、走廊、管理用房、档案室）</t>
  </si>
  <si>
    <t>混凝土地坪</t>
  </si>
  <si>
    <t>1、100厚C15混凝土兼找平
2、素土夯实，夯实系数达到94%
3、超高降效费综合考虑
4、综合考虑按图纸和规范要求而实施、完成这项工程的一切有关费用</t>
  </si>
  <si>
    <t>块料楼地面</t>
  </si>
  <si>
    <t>1、800*800*10mm哑面耐磨防滑地砖铺实拍平，白水泥或填缝剂擦缝。（用于楼梯间踏步防滑砖，砌出防滑条）（面砖规格颜色见装修图，送样选定）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</si>
  <si>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块料楼地面（楼梯间）</t>
  </si>
  <si>
    <t>1、600*600*10mm哑面耐磨防滑地砖铺实拍平，白水泥或填缝剂擦缝。（用于楼梯间踏步防滑砖，砌出防滑条）（面砖规格颜色见装修图，送样选定）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</si>
  <si>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块料楼地面(梯段)</t>
  </si>
  <si>
    <t>地2：地砖地面二（用于卫生间）</t>
  </si>
  <si>
    <t>细石混凝土楼地面</t>
  </si>
  <si>
    <t>1、25厚〔最薄处〕C2O细石砼找1%坡坡向地漏(与墙交接处抹成圆角),随手抹光。
2、素水泥浆一道(内掺6%建筑胶)
3、超高降效费综合考虑
4、综合考虑按图纸和规范要求而实施、完成这项工程的一切有关费用</t>
  </si>
  <si>
    <t>楼(地)面涂膜防水</t>
  </si>
  <si>
    <t>1、基层处理剂一道，1.5厚聚氨酯防水涂料（单组分Ⅰ型），满涂箱底及箱壁，并沿周边上翻高于完成面300（侧壁洒绿豆砂）（地漏、管根处、阴阳角(修补成R20圆弧形)等节点处250范围内做附加防水处理,附加防水层采用1.5厚JS聚合物水泥防水涂料）
2、超高降效费综合考虑
3、综合考虑按图纸和规范要求而实施、完成这项工程的一切有关费用</t>
  </si>
  <si>
    <t>水泥砂浆找平（平面）</t>
  </si>
  <si>
    <t>1、15厚M15水泥砂浆找平
2、超高降效费综合考虑
3、综合考虑按图纸和规范要求而实施、完成这项工程的一切有关费用</t>
  </si>
  <si>
    <t>水泥砂浆找平（侧壁）</t>
  </si>
  <si>
    <t>1、10厚M15水泥砂浆
2、超高降效费综合考虑
3、综合考虑按图纸和规范要求而实施、完成这项工程的一切有关费用</t>
  </si>
  <si>
    <t>轻骨料混凝土</t>
  </si>
  <si>
    <t>1、填充层LC7.5轻骨料混凝土
2、临时封堵好侧排口,48小时闭水试验。
3、超高降效费综合考虑
4、综合考虑按图纸和规范要求而实施、完成这项工程的一切有关费用</t>
  </si>
  <si>
    <t>1、25厚(最薄处)C20细石砼找1%坡坡向地漏或排水沟,内配φ4@150双向焊接钢筋网片
2、超高降效费综合考虑
3、综合考虑按图纸和规范要求而实施、完成这项工程的一切有关费用</t>
  </si>
  <si>
    <t>1、2.0厚聚合物水泥防水涂料（Ⅱ型），沿周边上翻高于完成面300，与相通房间延伸500，并向门口两侧方向各延伸200（地漏、管根处、阴阳角(修补成R20圆弧形)等节点处250范围内做附加防水处理,附加防水层采用1.5厚JS聚合物水泥防水涂料）
2、基层处理剂一道
3、超高降效费综合考虑
4、综合考虑按图纸和规范要求而实施、完成这项工程的一切有关费用</t>
  </si>
  <si>
    <t>1、600*600*10mm防滑地砖铺实拍平，白水泥或填缝剂擦缝
2、20厚M20水泥砂浆
3、超高降效费综合考虑
4、综合考虑按图纸和规范要求而实施、完成这项工程的一切有关费用</t>
  </si>
  <si>
    <t>地3：地砖地面三（防水）（用于生活水泵房及控制室\湿式报警阀间）</t>
  </si>
  <si>
    <t>1、2.0厚聚合物水泥防水涂料（Ⅱ型），沿周边上翻高于完成面300，与相通房间延伸500，并向门口两侧方向各延伸200（地漏、管根处、阴阳角(修补成R20圆弧形)等节点处250范围内做附加防水处理,附加防水层采用1.5厚JS聚合物水泥防水涂料）
2、超高降效费综合考虑
3、综合考虑按图纸和规范要求而实施、完成这项工程的一切有关费用</t>
  </si>
  <si>
    <t>1、8~10厚地砖铺实拍平，白水泥或填缝剂擦缝
2、20厚M20水泥砂浆
3、超高降效费综合考虑
4、综合考虑按图纸和规范要求而实施、完成这项工程的一切有关费用</t>
  </si>
  <si>
    <t>地4：地砖地面四（防水）（用于生活水泵房及控制室、消防水泵房及控制室）</t>
  </si>
  <si>
    <t>1、25厚〔最薄处〕C2O细石砼找1％坡坡向地漏，与墙交接处抹成圆角或详平面，随手抹光
2、素水泥浆一道(内掺6%建筑胶)
3、超高降效费综合考虑
4、综合考虑按图纸和规范要求而实施、完成这项工程的一切有关费用</t>
  </si>
  <si>
    <t>地5：金属耐磨面层一（用于储存区、装卸平台）</t>
  </si>
  <si>
    <t>1、200厚C15混凝土兼找平
2、超高降效费综合考虑
3、综合考虑按图纸和规范要求而实施、完成这项工程的一切有关费用</t>
  </si>
  <si>
    <t>混凝土面层</t>
  </si>
  <si>
    <t>1、200厚C30混凝土面层设分仓逢，内配单层双向φ8@150防裂钢筋网
2、超高降效费综合考虑
3、综合考虑按图纸和规范要求而实施、完成这项工程的一切有关费用</t>
  </si>
  <si>
    <t>金刚砂耐磨面层</t>
  </si>
  <si>
    <t>1、3厚金刚砂耐磨耐磨骨料(每平方米用料不少于6Kg。硬度大于莫氏7级。)，专用抹平机压实抹平
2、超高降效费综合考虑
3、综合考虑按图纸和规范要求而实施、完成这项工程的一切有关费用</t>
  </si>
  <si>
    <t>密封固化剂地面</t>
  </si>
  <si>
    <t>1、表面施工混凝土密封固化剂(0.5kg/m²)（施工做法参图集13CJ39，面层在浇筑混凝士过程中，应使用专用机械设备打磨、压光使之形成高强、致密的面层。金刚砂耐磨耐磨骨料须15d以后施工混凝土密封固化剂）（面层完成后做好保护措施，方可施工其他工序）
2、超高降效费综合考虑
3、综合考虑按图纸和规范要求而实施、完成这项工程的一切有关费用</t>
  </si>
  <si>
    <t>地6：防油渗细石混凝土面层（用于储油间）</t>
  </si>
  <si>
    <t>1、50厚C25防油渗细石混凝土，随打随抹光
2、素水泥浆一道（内掺6%建筑胶）
3、超高降效费综合考虑
4、综合考虑按图纸和规范要求而实施、完成这项工程的一切有关费用</t>
  </si>
  <si>
    <t>1、表面涂密封固化剂
2、超高降效费综合考虑
3、综合考虑按图纸和规范要求而实施、完成这项工程的一切有关费用</t>
  </si>
  <si>
    <t>回填200厚细砂</t>
  </si>
  <si>
    <t>1、回填200厚细砂</t>
  </si>
  <si>
    <t>地7：水泥基自流平面层一（用于排烟机房、配电间、弱电间、强电井、弱电井、工具间、通信机房、走道、发电机房）</t>
  </si>
  <si>
    <t>水泥自流平地面</t>
  </si>
  <si>
    <t>1、封闭剂或混凝土固化剂1道
2、5厚水泥基自流平面层（燃烧性能A级）
3、自流平界面剂2道
4、超高降效费综合考虑
5、综合考虑按图纸和规范要求而实施、完成这项工程的一切有关费用</t>
  </si>
  <si>
    <t>地8：水泥基自流平面层二（配电房、开关房）</t>
  </si>
  <si>
    <t>1、120厚C25钢筋混凝土面层，随捣随抹平，内配φ8@200单层双向钢筋（分隔缝间距不大于6x6m，缝宽10，缝深20，PU弹性填缝，钢筋在分隔缝处断开）
2、超高降效费综合考虑
3、综合考虑按图纸和规范要求而实施、完成这项工程的一切有关费用</t>
  </si>
  <si>
    <t>地9：混凝土地面一（风井、走道）</t>
  </si>
  <si>
    <t>地10：混凝土地面二（货物运输通道）</t>
  </si>
  <si>
    <t>水泥石粉渣稳定层</t>
  </si>
  <si>
    <t>1、300厚6%水泥石粉渣稳定层,压实系数≥95%
2、超高降效费综合考虑
3、综合考虑按图纸和规范要求而实施、完成这项工程的一切有关费用</t>
  </si>
  <si>
    <t>1、待混凝土初凝后在表面压出横向防滑路纹
2、230厚C30混凝土面层，内配单层双向c12@150防裂钢筋网，按4m~6m分仓跳格浇筑，纵向每格25m-30m设1道伸缝。缝宽20-30，内填沥青砂子或沥青处理，松木条嵌缝(柱四周200设分隔缝，缝宽20-30，内填沥青砂子或沥青处理，松木条嵌缝)
3、超高降效费综合考虑
4、综合考虑按图纸和规范要求而实施、完成这项工程的一切有关费用</t>
  </si>
  <si>
    <t>地12：防静电地板（用于消防控制室、弱电机房）</t>
  </si>
  <si>
    <t>水泥砂浆楼地面</t>
  </si>
  <si>
    <t>1、20厚M15水泥砂浆(1:3水泥砂浆)找平
2、素水泥浆一道（内掺6%建筑胶）
3、超高降效费综合考虑
4、综合考虑按图纸和规范要求而实施、完成这项工程的一切有关费用</t>
  </si>
  <si>
    <t>封闭剂楼地面</t>
  </si>
  <si>
    <t>1、混凝土密封封闭剂1道
2、素水泥浆一道
3、超高降效费综合考虑
4、综合考虑按图纸和规范要求而实施、完成这项工程的一切有关费用</t>
  </si>
  <si>
    <t>架空地板</t>
  </si>
  <si>
    <t>1、350高活动地板支撑脚架+全钢防静电活动地板
2、超高降效费综合考虑
3、综合考虑按图纸和规范要求而实施、完成这项工程的一切有关费用</t>
  </si>
  <si>
    <t>地13：防水砂浆楼面（用于空调管井）</t>
  </si>
  <si>
    <t>1、20厚(最薄处)DW(WW)M20水泥防水砂浆（并沿周边上翻高于完成面300）找1%坡，坡向地漏，收光
2、素水泥浆一道（内掺6%建筑胶）
3、超高降效费综合考虑
4、综合考虑按图纸和规范要求而实施、完成这项工程的一切有关费用</t>
  </si>
  <si>
    <t>地14：地砖地面四（用于一层管理用房）</t>
  </si>
  <si>
    <t>1、2.0厚聚合物水泥防水涂料（Ⅱ型），沿周边上翻高于完成面300
2、超高降效费综合考虑
3、综合考虑按图纸和规范要求而实施、完成这项工程的一切有关费用</t>
  </si>
  <si>
    <t>1、填充层LC7.5轻骨料混凝土
2、超高降效费综合考虑
3、综合考虑按图纸和规范要求而实施、完成这项工程的一切有关费用</t>
  </si>
  <si>
    <t>1、800*800*10mm哑面地砖铺实拍平，白水泥或填缝剂擦缝
2、20厚M20水泥砂浆
3、超高降效费综合考虑
4、综合考虑按图纸和规范要求而实施、完成这项工程的一切有关费用</t>
  </si>
  <si>
    <t>楼1：地砖楼面一（用于分拣用房、楼梯间、走廊\调度室\司机休息室\）</t>
  </si>
  <si>
    <t>1、800*800*10mm哑面地砖地砖铺实拍平，白水泥或填缝剂擦缝。（用于楼梯间踏步防滑砖，砌出防滑条）（面砖规格颜色见装修图，送样选定）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</si>
  <si>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楼2：地砖楼面二（用于卫生间）</t>
  </si>
  <si>
    <t>1、25厚〔最薄处〕C2O细石砼找1%坡坡向地漏(与墙交接处抹成圆角),随手抹光
2、素水泥浆一道(内掺6%建筑胶)
3、超高降效费综合考虑
4、综合考虑按图纸和规范要求而实施、完成这项工程的一切有关费用</t>
  </si>
  <si>
    <t>楼3：地砖3（防水）（用于清洁间）</t>
  </si>
  <si>
    <t>1、2.0厚聚合物水泥防水涂料（Ⅱ型），沿周边上翻高于完成面300（地漏、管根处、阴阳角(修补成R20圆弧形)等节点处250范围内做附加防水处理,附加防水层采用1.5厚JS聚合物水泥防水涂料）
2、超高降效费综合考虑
3、综合考虑按图纸和规范要求而实施、完成这项工程的一切有关费用</t>
  </si>
  <si>
    <t>楼4：金属耐磨面层（用于储存区、装卸平台）</t>
  </si>
  <si>
    <t>楼5：地坪漆楼面（用于排烟机房、配电间、弱电间、强电井、弱电井、工具间）</t>
  </si>
  <si>
    <t>楼6：混凝土楼面一（货物运输通道）</t>
  </si>
  <si>
    <t>防滑路纹</t>
  </si>
  <si>
    <t>1、待混凝土初凝后在表面压出横向防滑路纹
2、超高降效费综合考虑
3、综合考虑按图纸和规范要求而实施、完成这项工程的一切有关费用</t>
  </si>
  <si>
    <t>外涂型水泥基渗透结品型防水层</t>
  </si>
  <si>
    <t>1、外涂型水泥基渗透结品型防水层（厚度1.0mm，用量1.5kg/m2，分两遍完成）（施工前混凝土面清干净后，充分喷水湿润，表面无明水，内部充分吸水）
2、综合考虑按图纸和规范要求而实施、完成这项工程的一切有关费用</t>
  </si>
  <si>
    <t>楼7：混凝土楼面二（风井）</t>
  </si>
  <si>
    <t>混凝土楼面二</t>
  </si>
  <si>
    <t>1、钢筋砼楼板，随捣随抹光，清除砼板上不坚固的灰尘及杂物。
2、综合考虑按图纸和规范要求而实施、完成这项工程的一切有关费用</t>
  </si>
  <si>
    <t>楼8：防水砂浆楼面（用于空调管井）</t>
  </si>
  <si>
    <t>踢1：面砖、石材踢脚</t>
  </si>
  <si>
    <t>块料踢脚线</t>
  </si>
  <si>
    <t>1、界面处理剂一遍
2、瓷砖胶粘贴同地面颜色的5厚釉面砖，高100mm，加坡脚处理，填缝剂擦缝
3、超高降效费综合考虑
4、综合考虑按图纸和规范要求而实施、完成这项工程的一切有关费用</t>
  </si>
  <si>
    <t>踢2：金属踢脚（高100mm）</t>
  </si>
  <si>
    <t>金属踢脚线</t>
  </si>
  <si>
    <t>1、8厚高100成品灰色不锈钢踢脚板安装在金属卡件上
2、水泥钉固定金属卡件上端，中距300
3、10厚DPM15(1:3水泥砂浆)压实抹平
4、界面剂一道
5、超高降效费综合考虑
6、综合考虑按图纸和规范要求而实施、完成这项工程的一切有关费用</t>
  </si>
  <si>
    <t>踢3：涂料踢脚（高100mm）</t>
  </si>
  <si>
    <t>涂料踢脚</t>
  </si>
  <si>
    <t>1、喷或刷深灰色防霉防潮内墙涂料，高100mm（仓库高度200）：底漆一道，面漆两道
2、超高降效费综合考虑
3、综合考虑按图纸和规范要求而实施、完成这项工程的一切有关费用</t>
  </si>
  <si>
    <t>内墙面工程</t>
  </si>
  <si>
    <t>内1：涂料1</t>
  </si>
  <si>
    <t>墙面一般抹灰</t>
  </si>
  <si>
    <t>1、刷专用界面剂一道
2、15厚1:3水泥抗裂砂浆分两次抹平，每次7-8厚
3、5厚1:1:3水泥石灰砂浆罩面
4、超高降效费综合考虑
5、综合考虑按图纸和规范要求而实施、完成这项工程的一切有关费用</t>
  </si>
  <si>
    <t>抹灰面油漆</t>
  </si>
  <si>
    <t>1、2厚涂料自带专用耐水腻子二遍抹平
2、面层喷或刷白色内墙无机涂料,底涂料、中涂料，面涂料各一遍。
3、超高降效费综合考虑
4、综合考虑按图纸和规范要求而实施、完成这项工程的一切有关费用</t>
  </si>
  <si>
    <t>柱面一般抹灰</t>
  </si>
  <si>
    <t>柱面抹灰面油漆</t>
  </si>
  <si>
    <t>内2：涂料2（用于空调管井,泵房\清洁间）</t>
  </si>
  <si>
    <t>1、刷专用界面剂一道
2、15厚1:3水泥抗裂砂浆分两次抹平，每次7-8厚
3、超高降效费综合考虑
4、综合考虑按图纸和规范要求而实施、完成这项工程的一切有关费用</t>
  </si>
  <si>
    <t>1、5厚聚合物水泥防水砂浆（单组分Ⅰ型）
2、超高降效费综合考虑
3、综合考虑按图纸和规范要求而实施、完成这项工程的一切有关费用</t>
  </si>
  <si>
    <t>内3：面砖内墙（用于卫生间）</t>
  </si>
  <si>
    <t>块料墙面</t>
  </si>
  <si>
    <t>1、瓷砖胶粘贴600*300*10mm厚白色墙面砖（光面），白水泥浆擦缝
2、超高降效费综合考虑
3、综合考虑按图纸和规范要求而实施、完成这项工程的一切有关费用</t>
  </si>
  <si>
    <t>内4：面砖内墙（用于临钢板外墙的卫生间）</t>
  </si>
  <si>
    <t>纤维增强硅酸钙板</t>
  </si>
  <si>
    <t>1、12厚纤维增强硅酸钙板
2、超高降效费综合考虑
3、综合考虑按图纸和规范要求而实施、完成这项工程的一切有关费用</t>
  </si>
  <si>
    <t>内5：压型钢板内衬墙板（用于压型钢板外墙内衬墙板）</t>
  </si>
  <si>
    <t>墙面装饰板</t>
  </si>
  <si>
    <t>1、0.4（基板）厚镀铝锌压型彩钢板竖向通高布置，上部收边见节点大样图
2、超高降效费综合考虑
3、综合考虑按图纸和规范要求而实施、完成这项工程的一切有关费用</t>
  </si>
  <si>
    <t>内6：压型钢板内衬墙板（用于存储区5米高以上防火分区内隔墙）</t>
  </si>
  <si>
    <t>1、2厚涂料自带专用耐水腻子二遍抹平
2、面层喷或刷白色内墙涂料二道
3、超高降效费综合考虑
4、综合考虑按图纸和规范要求而实施、完成这项工程的一切有关费用</t>
  </si>
  <si>
    <t>内7：吸音墙面（用于发电机房）</t>
  </si>
  <si>
    <t>1、刷专用界面剂一道
2、8厚1:3水泥抗裂砂浆分两次抹平
3、超高降效费综合考虑
4、综合考虑按图纸和规范要求而实施、完成这项工程的一切有关费用</t>
  </si>
  <si>
    <t>1、吸音墙面
2、超高降效费综合考虑
3、综合考虑按图纸和规范要求而实施、完成这项工程的一切有关费用</t>
  </si>
  <si>
    <t>内8：预拌砂浆</t>
  </si>
  <si>
    <t>墙、柱面一般抹灰</t>
  </si>
  <si>
    <t>1、刷专用界面剂一道
2、8厚M5水泥石灰砂浆面层压光
3、超高降效费综合考虑
4、综合考虑按图纸和规范要求而实施、完成这项工程的一切有关费用</t>
  </si>
  <si>
    <t>裙1：内墙柱阳角（护角材料可选）</t>
  </si>
  <si>
    <t>内墙柱阳角</t>
  </si>
  <si>
    <t>1、L75X6镀锌钢护角：防撞护角高度1.2米，距地200安装。（用于储存区内柱角、墙角、门角）
2、超高降效费综合考虑
3、综合考虑按图纸和规范要求而实施、完成这项工程的一切有关费用</t>
  </si>
  <si>
    <t>根</t>
  </si>
  <si>
    <t>裙2：面砖墙裙（用于清洁间）</t>
  </si>
  <si>
    <t>1、瓷砖胶粘贴8~10厚瓷砖，墙裙高1200，填缝剂擦缝
2、超高降效费综合考虑
3、综合考虑按图纸和规范要求而实施、完成这项工程的一切有关费用</t>
  </si>
  <si>
    <t>挂网</t>
  </si>
  <si>
    <t>内墙面钉（挂）镀锌钢丝网</t>
  </si>
  <si>
    <t>1、墙、柱面钉(挂)镀锌钢(铁)网
2、镀锌铁丝网规格综合考虑
3、超高降效费综合考虑
4、综合考虑按图纸和规范要求而实施、完成这项工程的一切有关费用</t>
  </si>
  <si>
    <t>内墙面挂网抹灰人工增加费</t>
  </si>
  <si>
    <t>1、墙面挂网抹灰人工增加费
2、超高降效费综合考虑
3、综合考虑按图纸和规范要求而实施、完成这项工程的一切有关费用</t>
  </si>
  <si>
    <t>外墙面工程</t>
  </si>
  <si>
    <t>外1：涂料（一级防水)</t>
  </si>
  <si>
    <t>1、5厚M15水泥砂浆分两次抹灰，原浆压光，预留10宽分格缝
2、15厚M15水泥防水砂浆（掺5％防水剂）分两次抹灰，原浆压光，预留10宽分格缝
3、超高降效费综合考虑
4、综合考虑按图纸和规范要求而实施、完成这项工程的一切有关费用</t>
  </si>
  <si>
    <t>1、刮外墙耐水腻子两道，打磨平整（必须为专用外墙柔性腻子）
2、外墙真石漆（水包砂真石漆）涂料（包括底涂料、中涂料，面涂料各一遍），颜色见立面标注
3、超高降效费综合考虑
4、综合考虑按图纸和规范要求而实施、完成这项工程的一切有关费用</t>
  </si>
  <si>
    <t>外2：涂料（用于货物运输通道\架空区\行车坡道外立面侧结构柱及栏板）</t>
  </si>
  <si>
    <t>外3、外4：压型钢板外墙</t>
  </si>
  <si>
    <t>墙、柱面装饰板</t>
  </si>
  <si>
    <t>1、坚铺O.6(基板)厚高强洁面镀铝锌压型彩钢板(颜色见立面图)
2、5O厚离心玻璃棉保温层、柔性不燃材料贴面(综合燃烧等级为A级)
3、超高降效费综合考虑
4、综合考虑按图纸和规范要求而实施、完成这项工程的一切有关费用</t>
  </si>
  <si>
    <t>挂网及其他</t>
  </si>
  <si>
    <t>外墙面钉（挂）镀锌钢丝网</t>
  </si>
  <si>
    <t>外墙面挂网抹灰人工增加费</t>
  </si>
  <si>
    <t>墙面分隔缝</t>
  </si>
  <si>
    <t>1、外墙面分隔线25宽,深30mm白色防水胶泥
2、超高降效费综合考虑
3、综合考虑按图纸和规范要求而实施、完成这项工程的一切有关费用</t>
  </si>
  <si>
    <t>顶1：涂料顶棚1（室内一般顶棚）</t>
  </si>
  <si>
    <t>素水泥浆一道</t>
  </si>
  <si>
    <t>1、素水泥浆一道（内掺6%建筑胶）
2、超高降效费综合考虑
3、综合考虑按图纸和规范要求而实施、完成这项工程的一切有关费用</t>
  </si>
  <si>
    <t>刮腻子</t>
  </si>
  <si>
    <t>1、2厚涂料自带专用耐水腻子二遍抹平
2、超高降效费综合考虑
3、综合考虑按图纸和规范要求而实施、完成这项工程的一切有关费用</t>
  </si>
  <si>
    <t>天棚喷刷涂料</t>
  </si>
  <si>
    <t>1、白色内墙无机涂料,底涂料、中涂料，面涂料各一遍
2、超高降效费综合考虑
3、综合考虑按图纸和规范要求而实施、完成这项工程的一切有关费用</t>
  </si>
  <si>
    <t>顶2：涂料顶棚2（室内防潮顶棚）（用于空调管井\泵房\清洁间）</t>
  </si>
  <si>
    <t>1、素水泥浆一道（内掺建筑胶）
2、超高降效费综合考虑
3、综合考虑按图纸和规范要求而实施、完成这项工程的一切有关费用</t>
  </si>
  <si>
    <t>天棚涂膜防水</t>
  </si>
  <si>
    <t>1、1.0厚聚合物水泥防水涂料（Ⅱ型）
2、超高降效费综合考虑
3、综合考虑按图纸和规范要求而实施、完成这项工程的一切有关费用</t>
  </si>
  <si>
    <t>1、2厚面层耐水腻子二遍抹平
2、超高降效费综合考虑
3、综合考虑按图纸和规范要求而实施、完成这项工程的一切有关费用</t>
  </si>
  <si>
    <t>1、白色内墙涂料，底涂料、中涂料，面涂料各一遍（采用带防霉防潮性能内墙涂料）
2、超高降效费综合考虑
3、综合考虑按图纸和规范要求而实施、完成这项工程的一切有关费用</t>
  </si>
  <si>
    <t>顶3：涂料顶棚3（室外顶棚）（用于货物运输通道\架空区 \行车坡道）</t>
  </si>
  <si>
    <t>1、2厚面层耐水腻子二遍抹平
2、白色外墙涂料，底涂料、中涂料，面涂料各一遍
3、超高降效费综合考虑
4、综合考虑按图纸和规范要求而实施、完成这项工程的一切有关费用</t>
  </si>
  <si>
    <t>顶6：金属板吊顶（用于吊顶顶棚）</t>
  </si>
  <si>
    <t>（详见装修设计）</t>
  </si>
  <si>
    <t>平面吊顶天棚</t>
  </si>
  <si>
    <t>1、吊顶：（上）配套金属龙骨
2、铝合金方形板为600X600X0.8mm
3、超高降效费综合考虑
4、综合考虑按图纸和规范要求而实施、完成这项工程的一切有关费用</t>
  </si>
  <si>
    <t>吊顶天棚转换层</t>
  </si>
  <si>
    <t>1、钢骨架吊顶天棚转换层
2、镀锌角钢L50×4.0吊杆，膨胀螺栓固定
3、X向主杆件型号镀锌角钢L63X6.0
4、Y向次杆件型号镀锌角钢L63X4.0
5、另以上工作内容及未提及部分详见相关规范、招标文件及图纸要求</t>
  </si>
  <si>
    <t>顶7：吸声板吊顶（用于发电机房、分拣用房房）</t>
  </si>
  <si>
    <t>以发电机房专业为准</t>
  </si>
  <si>
    <t>1、专用吊挂件与楼板采用减震吊钩连接。
2、铝合金配套T型龙骨中间填吸声棉,双向中距600
3、15厚600x600玻璃棉装饰吸声板搁置于龙骨翼缘上
4、超高降效费综合考虑
5、综合考虑按图纸和规范要求而实施、完成这项工程的一切有关费用</t>
  </si>
  <si>
    <t>浅灰色成品钢质甲级防火门 单扇</t>
  </si>
  <si>
    <t>1、浅灰色成品钢质甲级防火门单扇 制安
2、含启闭器、顺序器、观察窗、五金等配件
3、超高降效费综合考虑
4、综合考虑按图纸和规范要求而实施、完成这项工程的一切有关费用</t>
  </si>
  <si>
    <t>浅灰色成品钢质甲级防火门 双扇</t>
  </si>
  <si>
    <t>1、浅灰色成品钢质甲级防火门双扇 制安
2、含启闭器、顺序器、观察窗、五金等配件
3、超高降效费综合考虑
4、综合考虑按图纸和规范要求而实施、完成这项工程的一切有关费用</t>
  </si>
  <si>
    <t>防火卷帘门</t>
  </si>
  <si>
    <t>1、防火卷帘门 制安
2、含电机五金等配件
3、超高降效费综合考虑
4、综合考虑按图纸和规范要求而实施、完成这项工程的一切有关费用</t>
  </si>
  <si>
    <t>钢制平开门</t>
  </si>
  <si>
    <t>1、钢制平开门 制安
2、含五金等配件
3、超高降效费综合考虑
4、综合考虑按图纸和规范要求而实施、完成这项工程的一切有关费用</t>
  </si>
  <si>
    <t>浅灰色夹板门</t>
  </si>
  <si>
    <t>1、浅灰色夹板门
2、含五金等配件
3、超高降效费综合考虑
4、综合考虑按图纸和规范要求而实施、完成这项工程的一切有关费用</t>
  </si>
  <si>
    <t>浅灰色滑升门</t>
  </si>
  <si>
    <t>1、浅灰色滑升门
2、含五金等配件
3、超高降效费综合考虑
4、综合考虑按图纸和规范要求而实施、完成这项工程的一切有关费用</t>
  </si>
  <si>
    <t>铝合金门联窗</t>
  </si>
  <si>
    <t>1、铝合金门联窗 制安
2、110系列粉末喷涂、壁厚2.2mm、6mm厚单层透明钢化玻璃
3、五金配件及其他:含窗锁及配套五金配件等
4、超高降效费综合考虑
5、综合考虑按图纸和规范要求而实施、完成这项工程的一切有关费用</t>
  </si>
  <si>
    <t>铝合金固定窗</t>
  </si>
  <si>
    <t>1、铝合金固定窗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</si>
  <si>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铝合金平开窗</t>
  </si>
  <si>
    <t>1、铝合金平开窗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</si>
  <si>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铝合金上悬窗</t>
  </si>
  <si>
    <t>1、铝合金上悬窗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</si>
  <si>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金属防火窗</t>
  </si>
  <si>
    <t>1、深灰色铝合金甲级防火窗(蓝灰色玻璃)
2、五金配件及其他:含窗锁及配套五金配件等
3、超高降效费综合考虑
4、综合考虑按图纸和规范要求而实施、完成这项工程的一切有关费用</t>
  </si>
  <si>
    <t>浅灰色铝合金百叶窗</t>
  </si>
  <si>
    <t>1、浅灰色铝合金百叶窗 制安
2、含五金等配件
3、超高降效费综合考虑
4、综合考虑按图纸和规范要求而实施、完成这项工程的一切有关费用</t>
  </si>
  <si>
    <t>防蚊虫纱窗</t>
  </si>
  <si>
    <t>1、不锈钢防蚊虫纱窗 制安
2、超高降效费综合考虑
3、综合考虑按图纸和规范要求而实施、完成这项工程的一切有关费用</t>
  </si>
  <si>
    <t>手动开窗器 一拖二</t>
  </si>
  <si>
    <t>1、手动开窗器 一拖二
2、超高降效费综合考虑
3、综合考虑按图纸和规范要求而实施、完成这项工程的一切有关费用</t>
  </si>
  <si>
    <t>手动开窗器 一拖三</t>
  </si>
  <si>
    <t>1、手动开窗器 一拖三
2、超高降效费综合考虑
3、综合考虑按图纸和规范要求而实施、完成这项工程的一切有关费用</t>
  </si>
  <si>
    <t>手动开窗器 一拖四</t>
  </si>
  <si>
    <t>1、手动开窗器 一拖四
2、超高降效费综合考虑
3、综合考虑按图纸和规范要求而实施、完成这项工程的一切有关费用</t>
  </si>
  <si>
    <t>手动开窗器 一拖六</t>
  </si>
  <si>
    <t>1、手动开窗器 一拖六
2、超高降效费综合考虑
3、综合考虑按图纸和规范要求而实施、完成这项工程的一切有关费用</t>
  </si>
  <si>
    <t>手动开窗器 一拖九</t>
  </si>
  <si>
    <t>1、手动开窗器 一拖九
2、超高降效费综合考虑
3、综合考虑按图纸和规范要求而实施、完成这项工程的一切有关费用</t>
  </si>
  <si>
    <t>屋面采光排烟窗</t>
  </si>
  <si>
    <t>1、屋面采光排烟窗
2、含五金配件、布线费、电箱等
3、系统性能试验等综合考虑、单价中包含二次深化设计等费用
4、建筑物超高增加人工、机械降效率高度30m
5、综合考虑按图纸和规范要求而实施、完成这项工程的一切有关费用</t>
  </si>
  <si>
    <t>散2：隐藏式混凝土散水</t>
  </si>
  <si>
    <t>1、60厚中砂铺垫
2、素土夯实（密实度≥94%），向外坡3～5%</t>
  </si>
  <si>
    <t>基础垫层</t>
  </si>
  <si>
    <t>1、60厚C15混凝土，面加5厚M20地面砂浆随打随抹光（散水宽度800mm），散水坡与外墙交接处留变形缝，缝宽20mm，防水油膏嵌缝</t>
  </si>
  <si>
    <t>1、200～300厚种植土</t>
  </si>
  <si>
    <t>坡2：地砖、广场砖、花岗岩坡道（台阶，面层可选）</t>
  </si>
  <si>
    <t>1、10厚地砖面层，横向铺配套防滑条地砖，中距300，水泥砂浆勾缝
2、撒素水泥面,洒适量清水(毛面花岗岩取消本层)
3、20厚1:3干硬性水泥砂浆结合层
4、素水泥浆一道(内掺建筑胶)</t>
  </si>
  <si>
    <t>坡3：水泥砂浆坡道（台阶）</t>
  </si>
  <si>
    <t>1、20厚M20水泥砂浆面层,20厚1:1金刚砂粒水泥防滑条,横向中距200,突出坡道面4
2 、素水泥浆一道(内掺建筑胶)
3、100厚C15混凝土,混凝土与入口地面交接处留变形缝,缝宽20mm,聚氨酯密封胶嵌缝
4、100厚1:6水泥石粉垫层
5、素土夯实,压实系数&gt;94%</t>
  </si>
  <si>
    <t>排水管外墙颜色漆</t>
  </si>
  <si>
    <t>1、底漆一遍，面漆二遍
2、超高降效费综合考虑
3、综合考虑按图纸和规范要求而实施、完成这项工程的一切有关费用</t>
  </si>
  <si>
    <t>屋细1.飘板构件</t>
  </si>
  <si>
    <t>1、外墙专用涂料（包括：外墙腻子2道、底涂料、中涂料，面涂料各一遍），颜色见立面标注
2、2.0mm厚聚合物水泥防水涂料（Ⅱ型）
3、最薄处20厚M15水泥防水砂浆找坡（掺5％防水剂）原浆压光，找坡坡向雨水口或外侧
4、超高降效费综合考虑
5、综合考虑按图纸和规范要求而实施、完成这项工程的一切有关费用</t>
  </si>
  <si>
    <t>防火墙与侧墙连接</t>
  </si>
  <si>
    <t>1、12厚纤维增强硅酸钙板背板
2、100mm厚防火岩棉(100kg/m3)
3、12厚纤维增强硅酸钙板面板
4、超高降效费综合考虑
5、综合考虑按图纸和规范要求而实施、完成这项工程的一切有关费用</t>
  </si>
  <si>
    <t>楼面变形缝</t>
  </si>
  <si>
    <t>1、楼面变形缝
2、具体详见14J936、PAD3、大样2
3、超高降效费综合考虑
4、综合考虑按图纸和规范要求而实施、完成这项工程的一切有关费用</t>
  </si>
  <si>
    <t>内墙变形缝</t>
  </si>
  <si>
    <t>1、内墙变形缝
2、具体详见14J936、PAN1、大样3
3、超高降效费综合考虑
4、综合考虑按图纸和规范要求而实施、完成这项工程的一切有关费用</t>
  </si>
  <si>
    <t>顶棚变形缝</t>
  </si>
  <si>
    <t>1、顶棚变形缝
2、具体详见14J936、PAN1、大样4
3、超高降效费综合考虑
4、综合考虑按图纸和规范要求而实施、完成这项工程的一切有关费用</t>
  </si>
  <si>
    <t>外墙变形缝</t>
  </si>
  <si>
    <t>1、夹芯板外墙变形缝
2、具体详见17J925-1、P3-16、大样7
3、超高降效费综合考虑
4、综合考虑按图纸和规范要求而实施、完成这项工程的一切有关费用</t>
  </si>
  <si>
    <t>装卸平台外墙变形缝</t>
  </si>
  <si>
    <t>1、装卸平台变形缝
2、具体详见14J936、PAQ1、大样1
3、超高降效费综合考虑
4、综合考虑按图纸和规范要求而实施、完成这项工程的一切有关费用</t>
  </si>
  <si>
    <t>屋面变形缝</t>
  </si>
  <si>
    <t>1、屋面变形缝
2、具体详见施工图大样2.4mm厚塑钢瓦（0.6mm厚压型镀铝锌钢板覆1.8mmTPO防水卷材）
3、超高降效费综合考虑
4、综合考虑按图纸和规范要求而实施、完成这项工程的一切有关费用</t>
  </si>
  <si>
    <t>楼梯不锈钢栏杆</t>
  </si>
  <si>
    <t>1、不锈钢栏杆 H=900mm 制安
2、栏杆材料：φ60*3不锈钢管立柱，φ60*3不锈钢扶手等
3、具体详见22J403-1、P2-8页、选用B3
4、超高降效费综合考虑
5、综合考虑按图纸和规范要求而实施、完成这项工程的一切有关费用</t>
  </si>
  <si>
    <t>护窗栏杆</t>
  </si>
  <si>
    <t>1、不锈钢栏杆 H=1000mm 制安
2、栏杆材料：φ50*1.5不锈钢管，φ20*1.5@110不锈钢管等
3、具体详见22J403-1、P4-24页、选用HC8
4、超高降效费综合考虑
5、综合考虑按图纸和规范要求而实施、完成这项工程的一切有关费用</t>
  </si>
  <si>
    <t>镀锌钢栏杆</t>
  </si>
  <si>
    <t>1、镀锌钢栏杆深灰色烤漆 H=1100mm 制安
2、栏杆材料：φ60*5钢管立柱，φ65*3钢扶手等
3、具体详见22J403-1、P3-49页、选用PB37
4、超高降效费综合考虑
5、综合考虑按图纸和规范要求而实施、完成这项工程的一切有关费用</t>
  </si>
  <si>
    <t>坡道栏板栏杆</t>
  </si>
  <si>
    <t>1、镀锌钢栏杆橙色烤漆 H=300mm 制安
2、栏杆材料：镀锌钢管立柱6厚，φ100*5不锈钢扶手等
3、超高降效费综合考虑
4、综合考虑按图纸和规范要求而实施、完成这项工程的一切有关费用</t>
  </si>
  <si>
    <t>不锈钢室外栏杆</t>
  </si>
  <si>
    <t>1、不锈钢栏杆 H=1100mm 制安
2、栏杆材料：φ60*5不锈钢钢管立柱，φ65*3不锈钢扶手等
3、具体详见22J403-1、P3-49页、选用PB37
4、超高降效费综合考虑
5、综合考虑按图纸和规范要求而实施、完成这项工程的一切有关费用</t>
  </si>
  <si>
    <t>防撞栏杆</t>
  </si>
  <si>
    <t>1、防撞栏杆 H=1300 制安
2、具体详图纸大样
3、超高降效费综合考虑
4、综合考虑按图纸和规范要求而实施、完成这项工程的一切有关费用</t>
  </si>
  <si>
    <t>室外钢台阶</t>
  </si>
  <si>
    <t>1、室外钢台阶 制安
2、具体详见15J401、PA4页
3、超高降效费综合考虑
4、综合考虑按图纸和规范要求而实施、完成这项工程的一切有关费用</t>
  </si>
  <si>
    <t>防护栏杆</t>
  </si>
  <si>
    <t>1、钢栏杆 制安
2、具体详见15J401、B33-2页
3、超高降效费综合考虑
4、综合考虑按图纸和规范要求而实施、完成这项工程的一切有关费用</t>
  </si>
  <si>
    <t>钢栏杆</t>
  </si>
  <si>
    <t>1、钢栏杆 制安
2、具体详见15J401、PA4页
3、超高降效费综合考虑
4、综合考虑按图纸和规范要求而实施、完成这项工程的一切有关费用</t>
  </si>
  <si>
    <t>钢爬梯</t>
  </si>
  <si>
    <t>1、钢楼梯 爬式
2、具体详见15J401、T5-A25页
3、超高降效费综合考虑
4、综合考虑按图纸和规范要求而实施、完成这项工程的一切有关费用</t>
  </si>
  <si>
    <t>防撞柱</t>
  </si>
  <si>
    <t>1、防撞柱 H=1200
2、φ120x3.5镀锌钢管 外涂黄黑相间警示油漆
3、内注C15细石混凝土、200PVC管切面50mm高、C15细石混凝土灌注密实、PVC管面刷漆
4、具体详图纸大样
5、超高降效费综合考虑
6、综合考虑按图纸和规范要求而实施、完成这项工程的一切有关费用</t>
  </si>
  <si>
    <t>1、防撞柱 H=600
2、φ120x3.5镀锌钢管 外涂黄黑相间警示油漆
3、内注C15细石混凝土、200PVC管切面50mm高、C15细石混凝土灌注密实、PVC管面刷漆
4、具体详图纸大样
5、超高降效费综合考虑
6、综合考虑按图纸和规范要求而实施、完成这项工程的一切有关费用</t>
  </si>
  <si>
    <t>货物运输通道排水沟盖板</t>
  </si>
  <si>
    <t>1、50厚重型热镀锌钢格栅盖板（深灰色烤漆）含不锈钢防虫过滤网
2、超高降效费综合考虑
3、综合考虑按图纸和规范要求而实施、完成这项工程的一切有关费用</t>
  </si>
  <si>
    <t>货物运输通道排水沟内饰面</t>
  </si>
  <si>
    <t>1、沟壁及沟底25厚1:2水泥防水砂浆（掺5%防水剂》粉面，沟
底纵坡O.5%，坡向地漏
2、沟壁及沟底金砂王基础处理剂加固优化基础体晾干8小时以上
3、沟壁及沟底滚涂第一遍0.5m厚专用外露涂料聚凝珪同时铺贴
加强层塑纤布晾干
4、沟壁及沟底滚涂第二遍0.5mm厚专用外露涂料聚凝珪晾干
5、：沟壁及沟底滚涂第三遍0.5mm厚专用外露涂料聚凝珪晾干
6、超高降效费综合考虑
7、综合考虑按图纸和规范要求而实施、完成这项工程的一切有关费用</t>
  </si>
  <si>
    <t>窗台板</t>
  </si>
  <si>
    <t>1、瓷砖胶粘贴20mm厚深灰色大理石
2、超高降效费综合考虑
3、综合考虑按图纸和规范要求而实施、完成这项工程的一切有关费用</t>
  </si>
  <si>
    <t>洗漱台</t>
  </si>
  <si>
    <t>1、20mm浅灰色大理石
2、L50×3mm镀锌角钢架
3、超高降效费综合考虑
4、综合考虑按图纸和规范要求而实施、完成这项工程的一切有关费用</t>
  </si>
  <si>
    <t>洗手台镜子</t>
  </si>
  <si>
    <t>1、6mm厚防雾银镜
2、超高降效费综合考虑
3、综合考虑按图纸和规范要求而实施、完成这项工程的一切有关费用</t>
  </si>
  <si>
    <t>卫生间隔断</t>
  </si>
  <si>
    <t>1、18mm抗倍特板成品隔断
2、超高降效费综合考虑
3、综合考虑按图纸和规范要求而实施、完成这项工程的一切有关费用</t>
  </si>
  <si>
    <t>合    计</t>
  </si>
  <si>
    <t>工作内容</t>
  </si>
  <si>
    <t>价格(元)</t>
  </si>
  <si>
    <t>备注</t>
  </si>
  <si>
    <t>011601001002</t>
  </si>
  <si>
    <t>脚手架</t>
  </si>
  <si>
    <t>2732436.91</t>
  </si>
  <si>
    <t>011601002002</t>
  </si>
  <si>
    <t>垂直运输</t>
  </si>
  <si>
    <t>2004582.91</t>
  </si>
  <si>
    <t>011601003002</t>
  </si>
  <si>
    <t>其他大型机械进出场及安拆</t>
  </si>
  <si>
    <t>73861.18</t>
  </si>
  <si>
    <t>011601004002</t>
  </si>
  <si>
    <t>施工排水</t>
  </si>
  <si>
    <t>011601005002</t>
  </si>
  <si>
    <t>施工降水</t>
  </si>
  <si>
    <t>6</t>
  </si>
  <si>
    <t>011601006002</t>
  </si>
  <si>
    <t>临时设施</t>
  </si>
  <si>
    <t>1217287.27</t>
  </si>
  <si>
    <t>7</t>
  </si>
  <si>
    <t>011601007002</t>
  </si>
  <si>
    <t>文明施工</t>
  </si>
  <si>
    <t>1030012.30</t>
  </si>
  <si>
    <t>8</t>
  </si>
  <si>
    <t>011601008002</t>
  </si>
  <si>
    <t>环境保护</t>
  </si>
  <si>
    <t>936374.82</t>
  </si>
  <si>
    <t>9</t>
  </si>
  <si>
    <t>011601009002</t>
  </si>
  <si>
    <t>安全生产</t>
  </si>
  <si>
    <t>最高投标限价:3114634.81 元</t>
  </si>
  <si>
    <t>10</t>
  </si>
  <si>
    <t>011601010002</t>
  </si>
  <si>
    <t>冬雨季施工增加</t>
  </si>
  <si>
    <t>11</t>
  </si>
  <si>
    <t>011601011002</t>
  </si>
  <si>
    <t>夜间施工措施费</t>
  </si>
  <si>
    <t>12</t>
  </si>
  <si>
    <t>011601012002</t>
  </si>
  <si>
    <t>特殊地区施工增加</t>
  </si>
  <si>
    <t>13</t>
  </si>
  <si>
    <t>011601013002</t>
  </si>
  <si>
    <t>二次搬运</t>
  </si>
  <si>
    <t>14</t>
  </si>
  <si>
    <t>011601014002</t>
  </si>
  <si>
    <t>已完工程及设备保护</t>
  </si>
  <si>
    <t>15</t>
  </si>
  <si>
    <t>011601015002</t>
  </si>
  <si>
    <t>既有建(构)筑物、设施保护</t>
  </si>
  <si>
    <t>16</t>
  </si>
  <si>
    <t>BC001003</t>
  </si>
  <si>
    <t>文明工地措施费</t>
  </si>
  <si>
    <t>省级文明工地按2.10%计算；市级文明工地按1.20%计算</t>
  </si>
  <si>
    <t>17</t>
  </si>
  <si>
    <t>BC003002</t>
  </si>
  <si>
    <t>洞内、地下室内、库内或暗室内(需要照明)进行施工措施费</t>
  </si>
  <si>
    <t>18</t>
  </si>
  <si>
    <t>BC006003</t>
  </si>
  <si>
    <t>施工现场围挡和临时占地围挡</t>
  </si>
  <si>
    <t>19</t>
  </si>
  <si>
    <t>BC007003</t>
  </si>
  <si>
    <t>施工围档照明</t>
  </si>
  <si>
    <t>20</t>
  </si>
  <si>
    <t>BC008002</t>
  </si>
  <si>
    <t>临时钢管架通道</t>
  </si>
  <si>
    <t>21</t>
  </si>
  <si>
    <t>BC009002</t>
  </si>
  <si>
    <t>样板引路</t>
  </si>
  <si>
    <t>22</t>
  </si>
  <si>
    <t>BC010002</t>
  </si>
  <si>
    <t>地上、地下设施、建筑物的临时保护设施</t>
  </si>
  <si>
    <t>23</t>
  </si>
  <si>
    <t>BC016002</t>
  </si>
  <si>
    <t>靠脚手架安全板</t>
  </si>
  <si>
    <t>24</t>
  </si>
  <si>
    <t>BC017002</t>
  </si>
  <si>
    <t>围尼龙编织布</t>
  </si>
  <si>
    <t>25</t>
  </si>
  <si>
    <t>BC018002</t>
  </si>
  <si>
    <t>防尘降噪绿色施工防护棚</t>
  </si>
  <si>
    <t>26</t>
  </si>
  <si>
    <t>BC019002</t>
  </si>
  <si>
    <t>施工便道</t>
  </si>
  <si>
    <t>-</t>
  </si>
  <si>
    <t>其他项目清单计价表</t>
  </si>
  <si>
    <t>工程名称:</t>
  </si>
  <si>
    <t>1#2#仓库土建装饰工程</t>
  </si>
  <si>
    <t>标段：</t>
  </si>
  <si>
    <t>第1页, 共1页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</si>
  <si>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</si>
  <si>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</si>
  <si>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</si>
  <si>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</si>
  <si>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</si>
  <si>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</si>
  <si>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</si>
  <si>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</si>
  <si>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预算包干费</t>
  </si>
  <si>
    <t>按分部分项的人工费与施工机具费之和的7.00%计算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</si>
  <si>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</si>
  <si>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</si>
  <si>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</si>
  <si>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</si>
  <si>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计算基础</t>
  </si>
  <si>
    <t>费率(%)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</si>
  <si>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</si>
  <si>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</si>
  <si>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</si>
  <si>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</si>
  <si>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</si>
  <si>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</si>
  <si>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</si>
  <si>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</si>
  <si>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本页小计</t>
  </si>
  <si>
    <t>—</t>
  </si>
  <si>
    <t>注：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</si>
  <si>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</si>
  <si>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增值税计价表</t>
  </si>
  <si>
    <t>计算基础说明</t>
  </si>
  <si>
    <t>税率(%)</t>
  </si>
  <si>
    <t>税前工程造价-专业工程暂估价</t>
  </si>
  <si>
    <t>106376444.230</t>
  </si>
  <si>
    <t>9.00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</si>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</sst>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"/>
  </numFmts>
  <fonts count="6">
    <font>
      <sz val="9"/>
      <name val="SimSun"/>
      <charset val="134"/>
    </font>
    <font>
      <b/>
      <sz val="2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8" fontId="3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wrapText="1"/>
    </xf>
    <xf numFmtId="2" fontId="3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1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271E2F-B6F0-4857-BD7B-FDC3CF7CB14C}" name="表2" displayName="表2" ref="A1:H437" totalsRowCount="1">
  <autoFilter ref="A1:H436" xr:uid="{9E271E2F-B6F0-4857-BD7B-FDC3CF7CB14C}">
    <filterColumn colId="2">
      <filters>
        <filter val="现浇构件钢筋（带E）"/>
      </filters>
    </filterColumn>
  </autoFilter>
  <tableColumns count="8">
    <tableColumn id="1" xr3:uid="{7945E8A1-D5CD-41B7-AF86-814A6205C076}" name="序号" totalsRowLabel="汇总"/>
    <tableColumn id="2" xr3:uid="{202D48C1-8FCE-4B7D-BFF3-13D5748E6F42}" name="项目编码"/>
    <tableColumn id="3" xr3:uid="{1923C101-054C-4E67-B97B-60F03F9C18F3}" name="项目名称"/>
    <tableColumn id="4" xr3:uid="{DA201ABE-6895-4778-A749-5987C6B690E9}" name="项目特征描述" dataDxfId="1" totalsRowDxfId="0"/>
    <tableColumn id="5" xr3:uid="{3A9D7EC3-EDF3-46A2-B18E-545EF04B5264}" name="计量单位" totalsRowFunction="count"/>
    <tableColumn id="6" xr3:uid="{B520AA82-E9D7-4210-9001-BAF892AE3698}" name="工程量" totalsRowFunction="sum"/>
    <tableColumn id="7" xr3:uid="{933CC41E-76C3-420C-AA6C-E9C02F68D753}" name="综合单价"/>
    <tableColumn id="8" xr3:uid="{15A7D95E-925F-47BA-B771-93B17A79AED2}" name="合价" totalsRowFunction="sum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sqref="A1:C1"/>
    </sheetView>
  </sheetViews>
  <sheetFormatPr defaultColWidth="9" defaultRowHeight="12"/>
  <cols>
    <col min="1" max="1" width="5" customWidth="1"/>
    <col min="2" max="2" width="6.77734375" customWidth="1"/>
    <col min="3" max="3" width="4.21875" customWidth="1"/>
    <col min="4" max="4" width="36.44140625" customWidth="1"/>
    <col min="5" max="5" width="9.21875" customWidth="1"/>
    <col min="6" max="6" width="20.6640625" customWidth="1"/>
    <col min="7" max="7" width="4.21875" customWidth="1"/>
    <col min="8" max="8" width="24.44140625" customWidth="1"/>
  </cols>
  <sheetData>
    <row r="1" spans="1:8" ht="23" customHeight="1">
      <c r="A1" s="13" t="s">
        <v>0</v>
      </c>
      <c r="B1" s="13"/>
      <c r="C1" s="13"/>
      <c r="D1" s="13" t="s">
        <v>1</v>
      </c>
      <c r="E1" s="13"/>
      <c r="F1" s="13"/>
      <c r="G1" s="13" t="s">
        <v>2</v>
      </c>
      <c r="H1" s="13"/>
    </row>
    <row r="2" spans="1:8" ht="23" customHeight="1">
      <c r="A2" s="17" t="s">
        <v>3</v>
      </c>
      <c r="B2" s="17"/>
      <c r="C2" s="17"/>
      <c r="D2" s="14" t="s">
        <v>4</v>
      </c>
      <c r="E2" s="14"/>
      <c r="F2" s="14"/>
      <c r="G2" s="15" t="s">
        <v>5</v>
      </c>
      <c r="H2" s="15"/>
    </row>
    <row r="3" spans="1:8" ht="23" customHeight="1">
      <c r="A3" s="17" t="s">
        <v>6</v>
      </c>
      <c r="B3" s="17"/>
      <c r="C3" s="17"/>
      <c r="D3" s="14" t="s">
        <v>7</v>
      </c>
      <c r="E3" s="14"/>
      <c r="F3" s="14"/>
      <c r="G3" s="15" t="s">
        <v>8</v>
      </c>
      <c r="H3" s="15"/>
    </row>
    <row r="4" spans="1:8" ht="23" customHeight="1">
      <c r="A4" s="17" t="s">
        <v>9</v>
      </c>
      <c r="B4" s="17"/>
      <c r="C4" s="17"/>
      <c r="D4" s="14" t="s">
        <v>10</v>
      </c>
      <c r="E4" s="14"/>
      <c r="F4" s="14"/>
      <c r="G4" s="15" t="s">
        <v>11</v>
      </c>
      <c r="H4" s="15"/>
    </row>
    <row r="5" spans="1:8" ht="23" customHeight="1">
      <c r="A5" s="17" t="s">
        <v>12</v>
      </c>
      <c r="B5" s="17"/>
      <c r="C5" s="17"/>
      <c r="D5" s="14" t="s">
        <v>13</v>
      </c>
      <c r="E5" s="14"/>
      <c r="F5" s="14"/>
      <c r="G5" s="15" t="s">
        <v>14</v>
      </c>
      <c r="H5" s="15"/>
    </row>
    <row r="6" spans="1:8" ht="23" customHeight="1">
      <c r="A6" s="17" t="s">
        <v>15</v>
      </c>
      <c r="B6" s="17"/>
      <c r="C6" s="17"/>
      <c r="D6" s="14" t="s">
        <v>16</v>
      </c>
      <c r="E6" s="14"/>
      <c r="F6" s="14"/>
      <c r="G6" s="15" t="s">
        <v>17</v>
      </c>
      <c r="H6" s="15"/>
    </row>
    <row r="7" spans="1:8" ht="23" customHeight="1">
      <c r="A7" s="17" t="s">
        <v>18</v>
      </c>
      <c r="B7" s="17"/>
      <c r="C7" s="17"/>
      <c r="D7" s="14" t="s">
        <v>19</v>
      </c>
      <c r="E7" s="14"/>
      <c r="F7" s="14"/>
      <c r="G7" s="15" t="s">
        <v>20</v>
      </c>
      <c r="H7" s="15"/>
    </row>
    <row r="8" spans="1:8" ht="23" customHeight="1">
      <c r="A8" s="17" t="s">
        <v>21</v>
      </c>
      <c r="B8" s="17"/>
      <c r="C8" s="17"/>
      <c r="D8" s="14" t="s">
        <v>22</v>
      </c>
      <c r="E8" s="14"/>
      <c r="F8" s="14"/>
      <c r="G8" s="15" t="s">
        <v>23</v>
      </c>
      <c r="H8" s="15"/>
    </row>
    <row r="9" spans="1:8" ht="23" customHeight="1">
      <c r="A9" s="17" t="s">
        <v>24</v>
      </c>
      <c r="B9" s="17"/>
      <c r="C9" s="17"/>
      <c r="D9" s="14" t="s">
        <v>25</v>
      </c>
      <c r="E9" s="14"/>
      <c r="F9" s="14"/>
      <c r="G9" s="15" t="s">
        <v>26</v>
      </c>
      <c r="H9" s="15"/>
    </row>
    <row r="10" spans="1:8" ht="23" customHeight="1">
      <c r="A10" s="17" t="s">
        <v>27</v>
      </c>
      <c r="B10" s="17"/>
      <c r="C10" s="17"/>
      <c r="D10" s="14" t="s">
        <v>28</v>
      </c>
      <c r="E10" s="14"/>
      <c r="F10" s="14"/>
      <c r="G10" s="15" t="s">
        <v>29</v>
      </c>
      <c r="H10" s="15"/>
    </row>
    <row r="11" spans="1:8" ht="23" customHeight="1">
      <c r="A11" s="17" t="s">
        <v>30</v>
      </c>
      <c r="B11" s="17"/>
      <c r="C11" s="17"/>
      <c r="D11" s="14" t="s">
        <v>31</v>
      </c>
      <c r="E11" s="14"/>
      <c r="F11" s="14"/>
      <c r="G11" s="15" t="s">
        <v>32</v>
      </c>
      <c r="H11" s="15"/>
    </row>
    <row r="12" spans="1:8" ht="23" customHeight="1">
      <c r="A12" s="17" t="s">
        <v>33</v>
      </c>
      <c r="B12" s="17"/>
      <c r="C12" s="17"/>
      <c r="D12" s="14" t="s">
        <v>34</v>
      </c>
      <c r="E12" s="14"/>
      <c r="F12" s="14"/>
      <c r="G12" s="15" t="s">
        <v>35</v>
      </c>
      <c r="H12" s="15"/>
    </row>
    <row r="13" spans="1:8" ht="23" customHeight="1">
      <c r="A13" s="17" t="s">
        <v>36</v>
      </c>
      <c r="B13" s="17"/>
      <c r="C13" s="17"/>
      <c r="D13" s="14" t="s">
        <v>37</v>
      </c>
      <c r="E13" s="14"/>
      <c r="F13" s="14"/>
      <c r="G13" s="15" t="s">
        <v>38</v>
      </c>
      <c r="H13" s="15"/>
    </row>
    <row r="14" spans="1:8" ht="23" customHeight="1">
      <c r="A14" s="17" t="s">
        <v>39</v>
      </c>
      <c r="B14" s="17"/>
      <c r="C14" s="17"/>
      <c r="D14" s="14" t="s">
        <v>40</v>
      </c>
      <c r="E14" s="14"/>
      <c r="F14" s="14"/>
      <c r="G14" s="15" t="s">
        <v>41</v>
      </c>
      <c r="H14" s="15"/>
    </row>
    <row r="15" spans="1:8" ht="23" customHeight="1">
      <c r="A15" s="17" t="s">
        <v>42</v>
      </c>
      <c r="B15" s="17"/>
      <c r="C15" s="17"/>
      <c r="D15" s="14" t="s">
        <v>43</v>
      </c>
      <c r="E15" s="14"/>
      <c r="F15" s="14"/>
      <c r="G15" s="15" t="s">
        <v>44</v>
      </c>
      <c r="H15" s="15"/>
    </row>
    <row r="16" spans="1:8" ht="23" customHeight="1">
      <c r="A16" s="17" t="s">
        <v>45</v>
      </c>
      <c r="B16" s="17"/>
      <c r="C16" s="17"/>
      <c r="D16" s="14" t="s">
        <v>46</v>
      </c>
      <c r="E16" s="14"/>
      <c r="F16" s="14"/>
      <c r="G16" s="15" t="s">
        <v>47</v>
      </c>
      <c r="H16" s="15"/>
    </row>
    <row r="17" spans="1:8" ht="23" customHeight="1">
      <c r="A17" s="17" t="s">
        <v>48</v>
      </c>
      <c r="B17" s="17"/>
      <c r="C17" s="17"/>
      <c r="D17" s="14" t="s">
        <v>49</v>
      </c>
      <c r="E17" s="14"/>
      <c r="F17" s="14"/>
      <c r="G17" s="15" t="s">
        <v>50</v>
      </c>
      <c r="H17" s="15"/>
    </row>
    <row r="18" spans="1:8" ht="23" customHeight="1">
      <c r="A18" s="17" t="s">
        <v>51</v>
      </c>
      <c r="B18" s="17"/>
      <c r="C18" s="17"/>
      <c r="D18" s="14" t="s">
        <v>52</v>
      </c>
      <c r="E18" s="14"/>
      <c r="F18" s="14"/>
      <c r="G18" s="15" t="s">
        <v>53</v>
      </c>
      <c r="H18" s="15"/>
    </row>
    <row r="19" spans="1:8" ht="23" customHeight="1">
      <c r="A19" s="17" t="s">
        <v>54</v>
      </c>
      <c r="B19" s="17"/>
      <c r="C19" s="17"/>
      <c r="D19" s="14" t="s">
        <v>55</v>
      </c>
      <c r="E19" s="14"/>
      <c r="F19" s="14"/>
      <c r="G19" s="15" t="s">
        <v>53</v>
      </c>
      <c r="H19" s="15"/>
    </row>
    <row r="20" spans="1:8" ht="23" customHeight="1">
      <c r="A20" s="17" t="s">
        <v>56</v>
      </c>
      <c r="B20" s="17"/>
      <c r="C20" s="17"/>
      <c r="D20" s="14" t="s">
        <v>57</v>
      </c>
      <c r="E20" s="14"/>
      <c r="F20" s="14"/>
      <c r="G20" s="15" t="s">
        <v>53</v>
      </c>
      <c r="H20" s="15"/>
    </row>
    <row r="21" spans="1:8" ht="23" customHeight="1">
      <c r="A21" s="17" t="s">
        <v>58</v>
      </c>
      <c r="B21" s="17"/>
      <c r="C21" s="17"/>
      <c r="D21" s="14" t="s">
        <v>59</v>
      </c>
      <c r="E21" s="14"/>
      <c r="F21" s="14"/>
      <c r="G21" s="15" t="s">
        <v>53</v>
      </c>
      <c r="H21" s="15"/>
    </row>
    <row r="22" spans="1:8" ht="23" customHeight="1">
      <c r="A22" s="17" t="s">
        <v>60</v>
      </c>
      <c r="B22" s="17"/>
      <c r="C22" s="17"/>
      <c r="D22" s="14" t="s">
        <v>61</v>
      </c>
      <c r="E22" s="14"/>
      <c r="F22" s="14"/>
      <c r="G22" s="15" t="s">
        <v>53</v>
      </c>
      <c r="H22" s="15"/>
    </row>
    <row r="23" spans="1:8" ht="23" customHeight="1">
      <c r="A23" s="17" t="s">
        <v>62</v>
      </c>
      <c r="B23" s="17"/>
      <c r="C23" s="17"/>
      <c r="D23" s="14" t="s">
        <v>63</v>
      </c>
      <c r="E23" s="14"/>
      <c r="F23" s="14"/>
      <c r="G23" s="15" t="s">
        <v>64</v>
      </c>
      <c r="H23" s="15"/>
    </row>
    <row r="24" spans="1:8" ht="23" customHeight="1">
      <c r="A24" s="17" t="s">
        <v>65</v>
      </c>
      <c r="B24" s="17"/>
      <c r="C24" s="17"/>
      <c r="D24" s="14" t="s">
        <v>66</v>
      </c>
      <c r="E24" s="14"/>
      <c r="F24" s="14"/>
      <c r="G24" s="15" t="s">
        <v>67</v>
      </c>
      <c r="H24" s="15"/>
    </row>
    <row r="25" spans="1:8" ht="23" customHeight="1">
      <c r="A25" s="17" t="s">
        <v>68</v>
      </c>
      <c r="B25" s="17"/>
      <c r="C25" s="17"/>
      <c r="D25" s="17"/>
      <c r="E25" s="17"/>
      <c r="F25" s="17"/>
      <c r="G25" s="15" t="s">
        <v>69</v>
      </c>
      <c r="H25" s="15"/>
    </row>
  </sheetData>
  <mergeCells count="74">
    <mergeCell ref="A25:F25"/>
    <mergeCell ref="G25:H25"/>
    <mergeCell ref="A23:C23"/>
    <mergeCell ref="D23:F23"/>
    <mergeCell ref="G23:H23"/>
    <mergeCell ref="A24:C24"/>
    <mergeCell ref="D24:F24"/>
    <mergeCell ref="G24:H24"/>
    <mergeCell ref="A21:C21"/>
    <mergeCell ref="D21:F21"/>
    <mergeCell ref="G21:H21"/>
    <mergeCell ref="A22:C22"/>
    <mergeCell ref="D22:F22"/>
    <mergeCell ref="G22:H22"/>
    <mergeCell ref="A19:C19"/>
    <mergeCell ref="D19:F19"/>
    <mergeCell ref="G19:H19"/>
    <mergeCell ref="A20:C20"/>
    <mergeCell ref="D20:F20"/>
    <mergeCell ref="G20:H20"/>
    <mergeCell ref="A17:C17"/>
    <mergeCell ref="D17:F17"/>
    <mergeCell ref="G17:H17"/>
    <mergeCell ref="A18:C18"/>
    <mergeCell ref="D18:F18"/>
    <mergeCell ref="G18:H18"/>
    <mergeCell ref="A15:C15"/>
    <mergeCell ref="D15:F15"/>
    <mergeCell ref="G15:H15"/>
    <mergeCell ref="A16:C16"/>
    <mergeCell ref="D16:F16"/>
    <mergeCell ref="G16:H16"/>
    <mergeCell ref="A13:C13"/>
    <mergeCell ref="D13:F13"/>
    <mergeCell ref="G13:H13"/>
    <mergeCell ref="A14:C14"/>
    <mergeCell ref="D14:F14"/>
    <mergeCell ref="G14:H14"/>
    <mergeCell ref="A11:C11"/>
    <mergeCell ref="D11:F11"/>
    <mergeCell ref="G11:H11"/>
    <mergeCell ref="A12:C12"/>
    <mergeCell ref="D12:F12"/>
    <mergeCell ref="G12:H12"/>
    <mergeCell ref="A9:C9"/>
    <mergeCell ref="D9:F9"/>
    <mergeCell ref="G9:H9"/>
    <mergeCell ref="A10:C10"/>
    <mergeCell ref="D10:F10"/>
    <mergeCell ref="G10:H10"/>
    <mergeCell ref="A7:C7"/>
    <mergeCell ref="D7:F7"/>
    <mergeCell ref="G7:H7"/>
    <mergeCell ref="A8:C8"/>
    <mergeCell ref="D8:F8"/>
    <mergeCell ref="G8:H8"/>
    <mergeCell ref="A5:C5"/>
    <mergeCell ref="D5:F5"/>
    <mergeCell ref="G5:H5"/>
    <mergeCell ref="A6:C6"/>
    <mergeCell ref="D6:F6"/>
    <mergeCell ref="G6:H6"/>
    <mergeCell ref="A3:C3"/>
    <mergeCell ref="D3:F3"/>
    <mergeCell ref="G3:H3"/>
    <mergeCell ref="A4:C4"/>
    <mergeCell ref="D4:F4"/>
    <mergeCell ref="G4:H4"/>
    <mergeCell ref="A1:C1"/>
    <mergeCell ref="D1:F1"/>
    <mergeCell ref="G1:H1"/>
    <mergeCell ref="A2:C2"/>
    <mergeCell ref="D2:F2"/>
    <mergeCell ref="G2:H2"/>
  </mergeCells>
  <printOptions horizontalCentered="1"/>
  <pageMargins left="0.51968541666667001" right="0.51968541666667001" top="0.74803125000000004" bottom="0" header="0" footer="0"/>
  <pageSetup paperSize="9" orientation="portrait"/>
  <headerFooter>
    <oddHeader>&amp;L 
&amp;"宋体,加粗"&amp;10 工程名称: &amp;"宋体,加粗"&amp;10 1#2#仓库土建装饰工程 &amp;C &amp;"宋体,加粗"&amp;20 工程项目清单汇总表
 &amp;"宋体,加粗"&amp;10 标段： &amp;"宋体,加粗"&amp;10  &amp;R 
&amp;"宋体,加粗"&amp;10 第&amp;P页, 共&amp;N页</oddHeader>
    <oddFooter>&amp;R &amp;"宋体,常规"&amp;9 注：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5"/>
  <sheetViews>
    <sheetView topLeftCell="A450" workbookViewId="0">
      <selection sqref="A1:L454"/>
    </sheetView>
  </sheetViews>
  <sheetFormatPr defaultColWidth="9" defaultRowHeight="12"/>
  <cols>
    <col min="1" max="1" width="7.109375" customWidth="1"/>
    <col min="2" max="2" width="4.6640625" customWidth="1"/>
    <col min="3" max="3" width="11.21875" customWidth="1"/>
    <col min="4" max="4" width="19.88671875" customWidth="1"/>
    <col min="5" max="5" width="9.6640625" customWidth="1"/>
    <col min="6" max="6" width="9.21875" customWidth="1"/>
    <col min="7" max="7" width="28.33203125" customWidth="1"/>
    <col min="8" max="8" width="5.77734375" customWidth="1"/>
    <col min="9" max="9" width="11.21875" customWidth="1"/>
    <col min="10" max="10" width="2.5546875" customWidth="1"/>
    <col min="11" max="11" width="8.5546875" customWidth="1"/>
    <col min="12" max="12" width="15.77734375" customWidth="1"/>
    <col min="19" max="19" width="15.109375"/>
  </cols>
  <sheetData>
    <row r="1" spans="1:12" ht="23" customHeight="1">
      <c r="A1" s="27" t="s">
        <v>0</v>
      </c>
      <c r="B1" s="27" t="s">
        <v>70</v>
      </c>
      <c r="C1" s="27"/>
      <c r="D1" s="28" t="s">
        <v>71</v>
      </c>
      <c r="E1" s="28" t="s">
        <v>72</v>
      </c>
      <c r="F1" s="28"/>
      <c r="G1" s="28"/>
      <c r="H1" s="28" t="s">
        <v>73</v>
      </c>
      <c r="I1" s="28" t="s">
        <v>74</v>
      </c>
      <c r="J1" s="28" t="s">
        <v>2</v>
      </c>
      <c r="K1" s="28"/>
      <c r="L1" s="28"/>
    </row>
    <row r="2" spans="1:12" ht="12" customHeight="1">
      <c r="A2" s="27"/>
      <c r="B2" s="27"/>
      <c r="C2" s="27"/>
      <c r="D2" s="28"/>
      <c r="E2" s="28"/>
      <c r="F2" s="28"/>
      <c r="G2" s="28"/>
      <c r="H2" s="28"/>
      <c r="I2" s="28"/>
      <c r="J2" s="28" t="s">
        <v>75</v>
      </c>
      <c r="K2" s="28"/>
      <c r="L2" s="28" t="s">
        <v>76</v>
      </c>
    </row>
    <row r="3" spans="1:12" ht="12" customHeight="1">
      <c r="A3" s="27"/>
      <c r="B3" s="27"/>
      <c r="C3" s="27"/>
      <c r="D3" s="28"/>
      <c r="E3" s="28"/>
      <c r="F3" s="28"/>
      <c r="G3" s="28"/>
      <c r="H3" s="28"/>
      <c r="I3" s="28"/>
      <c r="J3" s="28"/>
      <c r="K3" s="28"/>
      <c r="L3" s="28"/>
    </row>
    <row r="4" spans="1:12" ht="23" customHeight="1">
      <c r="A4" s="3" t="s">
        <v>53</v>
      </c>
      <c r="B4" s="14" t="s">
        <v>53</v>
      </c>
      <c r="C4" s="14"/>
      <c r="D4" s="4" t="s">
        <v>7</v>
      </c>
      <c r="E4" s="14" t="s">
        <v>53</v>
      </c>
      <c r="F4" s="14"/>
      <c r="G4" s="14"/>
      <c r="H4" s="3" t="s">
        <v>53</v>
      </c>
      <c r="I4" s="10" t="s">
        <v>53</v>
      </c>
      <c r="J4" s="15" t="s">
        <v>53</v>
      </c>
      <c r="K4" s="15"/>
      <c r="L4" s="11">
        <v>1005764.21</v>
      </c>
    </row>
    <row r="5" spans="1:12" ht="139" customHeight="1">
      <c r="A5" s="3">
        <v>1</v>
      </c>
      <c r="B5" s="14">
        <v>10102001001</v>
      </c>
      <c r="C5" s="14"/>
      <c r="D5" s="4" t="s">
        <v>77</v>
      </c>
      <c r="E5" s="14" t="s">
        <v>78</v>
      </c>
      <c r="F5" s="14"/>
      <c r="G5" s="14"/>
      <c r="H5" s="3" t="s">
        <v>79</v>
      </c>
      <c r="I5" s="11">
        <v>9650.2999999999993</v>
      </c>
      <c r="J5" s="16">
        <v>7.78</v>
      </c>
      <c r="K5" s="15"/>
      <c r="L5" s="11">
        <v>75079.33</v>
      </c>
    </row>
    <row r="6" spans="1:12" ht="139" customHeight="1">
      <c r="A6" s="3">
        <v>2</v>
      </c>
      <c r="B6" s="14">
        <v>10102001002</v>
      </c>
      <c r="C6" s="14"/>
      <c r="D6" s="4" t="s">
        <v>80</v>
      </c>
      <c r="E6" s="14" t="s">
        <v>78</v>
      </c>
      <c r="F6" s="14"/>
      <c r="G6" s="14"/>
      <c r="H6" s="3" t="s">
        <v>79</v>
      </c>
      <c r="I6" s="11">
        <v>9650.2999999999993</v>
      </c>
      <c r="J6" s="16">
        <v>8.98</v>
      </c>
      <c r="K6" s="15"/>
      <c r="L6" s="11">
        <v>86659.69</v>
      </c>
    </row>
    <row r="7" spans="1:12" ht="139" customHeight="1">
      <c r="A7" s="3">
        <v>3</v>
      </c>
      <c r="B7" s="14">
        <v>10102001003</v>
      </c>
      <c r="C7" s="14"/>
      <c r="D7" s="4" t="s">
        <v>81</v>
      </c>
      <c r="E7" s="14" t="s">
        <v>78</v>
      </c>
      <c r="F7" s="14"/>
      <c r="G7" s="14"/>
      <c r="H7" s="3" t="s">
        <v>79</v>
      </c>
      <c r="I7" s="11">
        <v>16825.09</v>
      </c>
      <c r="J7" s="16">
        <v>7.68</v>
      </c>
      <c r="K7" s="15"/>
      <c r="L7" s="11">
        <v>129216.69</v>
      </c>
    </row>
    <row r="8" spans="1:12" ht="169" customHeight="1">
      <c r="A8" s="3">
        <v>4</v>
      </c>
      <c r="B8" s="14">
        <v>10102007001</v>
      </c>
      <c r="C8" s="14"/>
      <c r="D8" s="4" t="s">
        <v>82</v>
      </c>
      <c r="E8" s="14" t="s">
        <v>83</v>
      </c>
      <c r="F8" s="14"/>
      <c r="G8" s="14"/>
      <c r="H8" s="3" t="s">
        <v>79</v>
      </c>
      <c r="I8" s="11">
        <v>38411.980000000003</v>
      </c>
      <c r="J8" s="16">
        <v>14.69</v>
      </c>
      <c r="K8" s="15"/>
      <c r="L8" s="11">
        <v>564271.99</v>
      </c>
    </row>
    <row r="9" spans="1:12" ht="23" customHeight="1">
      <c r="A9" s="3">
        <v>5</v>
      </c>
      <c r="B9" s="14">
        <v>40103002003</v>
      </c>
      <c r="C9" s="14"/>
      <c r="D9" s="4" t="s">
        <v>84</v>
      </c>
      <c r="E9" s="14" t="s">
        <v>85</v>
      </c>
      <c r="F9" s="14"/>
      <c r="G9" s="14"/>
      <c r="H9" s="3" t="s">
        <v>79</v>
      </c>
      <c r="I9" s="11">
        <v>5464.12</v>
      </c>
      <c r="J9" s="16">
        <v>27.55</v>
      </c>
      <c r="K9" s="15"/>
      <c r="L9" s="11">
        <v>150536.51</v>
      </c>
    </row>
    <row r="10" spans="1:12" ht="23" customHeight="1">
      <c r="A10" s="3" t="s">
        <v>53</v>
      </c>
      <c r="B10" s="14" t="s">
        <v>53</v>
      </c>
      <c r="C10" s="14"/>
      <c r="D10" s="4" t="s">
        <v>10</v>
      </c>
      <c r="E10" s="14" t="s">
        <v>53</v>
      </c>
      <c r="F10" s="14"/>
      <c r="G10" s="14"/>
      <c r="H10" s="3" t="s">
        <v>53</v>
      </c>
      <c r="I10" s="10" t="s">
        <v>53</v>
      </c>
      <c r="J10" s="15" t="s">
        <v>53</v>
      </c>
      <c r="K10" s="15"/>
      <c r="L10" s="11">
        <v>1120024.97</v>
      </c>
    </row>
    <row r="11" spans="1:12" ht="198" customHeight="1">
      <c r="A11" s="3">
        <v>6</v>
      </c>
      <c r="B11" s="14">
        <v>10402001001</v>
      </c>
      <c r="C11" s="14"/>
      <c r="D11" s="4" t="s">
        <v>86</v>
      </c>
      <c r="E11" s="14" t="s">
        <v>87</v>
      </c>
      <c r="F11" s="14"/>
      <c r="G11" s="14"/>
      <c r="H11" s="3" t="s">
        <v>79</v>
      </c>
      <c r="I11" s="11">
        <v>70.989999999999995</v>
      </c>
      <c r="J11" s="16">
        <v>496.43</v>
      </c>
      <c r="K11" s="15"/>
      <c r="L11" s="11">
        <v>35241.57</v>
      </c>
    </row>
    <row r="12" spans="1:12" ht="198" customHeight="1">
      <c r="A12" s="3">
        <v>7</v>
      </c>
      <c r="B12" s="14">
        <v>10402001002</v>
      </c>
      <c r="C12" s="14"/>
      <c r="D12" s="4" t="s">
        <v>86</v>
      </c>
      <c r="E12" s="14" t="s">
        <v>88</v>
      </c>
      <c r="F12" s="14"/>
      <c r="G12" s="14"/>
      <c r="H12" s="3" t="s">
        <v>79</v>
      </c>
      <c r="I12" s="11">
        <v>1111.6300000000001</v>
      </c>
      <c r="J12" s="16">
        <v>436.46</v>
      </c>
      <c r="K12" s="15"/>
      <c r="L12" s="11">
        <v>485182.03</v>
      </c>
    </row>
    <row r="13" spans="1:12" ht="198" customHeight="1">
      <c r="A13" s="3">
        <v>8</v>
      </c>
      <c r="B13" s="14">
        <v>10402001003</v>
      </c>
      <c r="C13" s="14"/>
      <c r="D13" s="4" t="s">
        <v>86</v>
      </c>
      <c r="E13" s="14" t="s">
        <v>89</v>
      </c>
      <c r="F13" s="14"/>
      <c r="G13" s="14"/>
      <c r="H13" s="3" t="s">
        <v>79</v>
      </c>
      <c r="I13" s="11">
        <v>2.09</v>
      </c>
      <c r="J13" s="16">
        <v>459.18</v>
      </c>
      <c r="K13" s="15"/>
      <c r="L13" s="11">
        <v>959.69</v>
      </c>
    </row>
    <row r="14" spans="1:12" ht="198" customHeight="1">
      <c r="A14" s="3">
        <v>9</v>
      </c>
      <c r="B14" s="14">
        <v>10401002001</v>
      </c>
      <c r="C14" s="14"/>
      <c r="D14" s="4" t="s">
        <v>90</v>
      </c>
      <c r="E14" s="14" t="s">
        <v>91</v>
      </c>
      <c r="F14" s="14"/>
      <c r="G14" s="14"/>
      <c r="H14" s="3" t="s">
        <v>79</v>
      </c>
      <c r="I14" s="11">
        <v>240.86</v>
      </c>
      <c r="J14" s="16">
        <v>557.88</v>
      </c>
      <c r="K14" s="15"/>
      <c r="L14" s="11">
        <v>134370.98000000001</v>
      </c>
    </row>
    <row r="15" spans="1:12" ht="169" customHeight="1">
      <c r="A15" s="3">
        <v>10</v>
      </c>
      <c r="B15" s="14">
        <v>10404001001</v>
      </c>
      <c r="C15" s="14"/>
      <c r="D15" s="4" t="s">
        <v>92</v>
      </c>
      <c r="E15" s="14" t="s">
        <v>93</v>
      </c>
      <c r="F15" s="14"/>
      <c r="G15" s="14"/>
      <c r="H15" s="3" t="s">
        <v>94</v>
      </c>
      <c r="I15" s="11">
        <v>2625.52</v>
      </c>
      <c r="J15" s="16">
        <v>176.83</v>
      </c>
      <c r="K15" s="15"/>
      <c r="L15" s="11">
        <v>464270.7</v>
      </c>
    </row>
    <row r="16" spans="1:12" ht="23" customHeight="1">
      <c r="A16" s="3" t="s">
        <v>53</v>
      </c>
      <c r="B16" s="14" t="s">
        <v>53</v>
      </c>
      <c r="C16" s="14"/>
      <c r="D16" s="4" t="s">
        <v>13</v>
      </c>
      <c r="E16" s="14" t="s">
        <v>53</v>
      </c>
      <c r="F16" s="14"/>
      <c r="G16" s="14"/>
      <c r="H16" s="3" t="s">
        <v>53</v>
      </c>
      <c r="I16" s="10" t="s">
        <v>53</v>
      </c>
      <c r="J16" s="15" t="s">
        <v>53</v>
      </c>
      <c r="K16" s="15"/>
      <c r="L16" s="11">
        <v>15129568.460000001</v>
      </c>
    </row>
    <row r="17" spans="1:19" ht="23" customHeight="1">
      <c r="A17" s="3" t="s">
        <v>53</v>
      </c>
      <c r="B17" s="14" t="s">
        <v>53</v>
      </c>
      <c r="C17" s="14"/>
      <c r="D17" s="4" t="s">
        <v>95</v>
      </c>
      <c r="E17" s="14" t="s">
        <v>53</v>
      </c>
      <c r="F17" s="14"/>
      <c r="G17" s="14"/>
      <c r="H17" s="3" t="s">
        <v>53</v>
      </c>
      <c r="I17" s="10" t="s">
        <v>53</v>
      </c>
      <c r="J17" s="15" t="s">
        <v>53</v>
      </c>
      <c r="K17" s="15"/>
      <c r="L17" s="11">
        <v>2438261.84</v>
      </c>
    </row>
    <row r="18" spans="1:19" ht="125" customHeight="1">
      <c r="A18" s="3">
        <v>11</v>
      </c>
      <c r="B18" s="14">
        <v>10501001001</v>
      </c>
      <c r="C18" s="14"/>
      <c r="D18" s="4" t="s">
        <v>96</v>
      </c>
      <c r="E18" s="14" t="s">
        <v>97</v>
      </c>
      <c r="F18" s="14"/>
      <c r="G18" s="14"/>
      <c r="H18" s="3" t="s">
        <v>79</v>
      </c>
      <c r="I18" s="11">
        <v>507.34</v>
      </c>
      <c r="J18" s="16">
        <v>400.81</v>
      </c>
      <c r="K18" s="15"/>
      <c r="L18" s="11">
        <v>203346.95</v>
      </c>
    </row>
    <row r="19" spans="1:19" ht="154" customHeight="1">
      <c r="A19" s="3">
        <v>12</v>
      </c>
      <c r="B19" s="14">
        <v>10502001001</v>
      </c>
      <c r="C19" s="14"/>
      <c r="D19" s="4" t="s">
        <v>98</v>
      </c>
      <c r="E19" s="14" t="s">
        <v>99</v>
      </c>
      <c r="F19" s="14"/>
      <c r="G19" s="14"/>
      <c r="H19" s="3" t="s">
        <v>79</v>
      </c>
      <c r="I19" s="11">
        <v>2665.05</v>
      </c>
      <c r="J19" s="16">
        <v>464.29</v>
      </c>
      <c r="K19" s="15"/>
      <c r="L19" s="11">
        <v>1237356.06</v>
      </c>
    </row>
    <row r="20" spans="1:19" ht="183" customHeight="1">
      <c r="A20" s="3">
        <v>13</v>
      </c>
      <c r="B20" s="14">
        <v>10502006001</v>
      </c>
      <c r="C20" s="14"/>
      <c r="D20" s="4" t="s">
        <v>100</v>
      </c>
      <c r="E20" s="14" t="s">
        <v>101</v>
      </c>
      <c r="F20" s="14"/>
      <c r="G20" s="14"/>
      <c r="H20" s="3" t="s">
        <v>79</v>
      </c>
      <c r="I20" s="11">
        <v>344.34</v>
      </c>
      <c r="J20" s="16">
        <v>615.02</v>
      </c>
      <c r="K20" s="15"/>
      <c r="L20" s="11">
        <v>211775.99</v>
      </c>
      <c r="N20">
        <f>40</f>
        <v>40</v>
      </c>
      <c r="O20">
        <f>280+12*4</f>
        <v>328</v>
      </c>
      <c r="P20">
        <v>18</v>
      </c>
      <c r="Q20">
        <f>N20+O20+P20</f>
        <v>386</v>
      </c>
      <c r="R20">
        <f>Q20*1.05</f>
        <v>405.3</v>
      </c>
      <c r="S20" s="12">
        <f>(J20-R20)/J20</f>
        <v>0.340997040746642</v>
      </c>
    </row>
    <row r="21" spans="1:19" ht="183" customHeight="1">
      <c r="A21" s="3">
        <v>14</v>
      </c>
      <c r="B21" s="14">
        <v>10502006002</v>
      </c>
      <c r="C21" s="14"/>
      <c r="D21" s="4" t="s">
        <v>102</v>
      </c>
      <c r="E21" s="14" t="s">
        <v>103</v>
      </c>
      <c r="F21" s="14"/>
      <c r="G21" s="14"/>
      <c r="H21" s="3" t="s">
        <v>79</v>
      </c>
      <c r="I21" s="11">
        <v>33.72</v>
      </c>
      <c r="J21" s="16">
        <v>581.75</v>
      </c>
      <c r="K21" s="15"/>
      <c r="L21" s="11">
        <v>19616.61</v>
      </c>
    </row>
    <row r="22" spans="1:19" ht="154" customHeight="1">
      <c r="A22" s="3">
        <v>15</v>
      </c>
      <c r="B22" s="14">
        <v>10502001002</v>
      </c>
      <c r="C22" s="14"/>
      <c r="D22" s="4" t="s">
        <v>104</v>
      </c>
      <c r="E22" s="14" t="s">
        <v>105</v>
      </c>
      <c r="F22" s="14"/>
      <c r="G22" s="14"/>
      <c r="H22" s="3" t="s">
        <v>79</v>
      </c>
      <c r="I22" s="11">
        <v>1.35</v>
      </c>
      <c r="J22" s="16">
        <v>490.76</v>
      </c>
      <c r="K22" s="15"/>
      <c r="L22" s="11">
        <v>662.53</v>
      </c>
    </row>
    <row r="23" spans="1:19" ht="183" customHeight="1">
      <c r="A23" s="3">
        <v>16</v>
      </c>
      <c r="B23" s="14">
        <v>10502010001</v>
      </c>
      <c r="C23" s="14"/>
      <c r="D23" s="4" t="s">
        <v>106</v>
      </c>
      <c r="E23" s="14" t="s">
        <v>103</v>
      </c>
      <c r="F23" s="14"/>
      <c r="G23" s="14"/>
      <c r="H23" s="3" t="s">
        <v>79</v>
      </c>
      <c r="I23" s="11">
        <v>157.1</v>
      </c>
      <c r="J23" s="16">
        <v>505.37</v>
      </c>
      <c r="K23" s="15"/>
      <c r="L23" s="11">
        <v>79393.63</v>
      </c>
    </row>
    <row r="24" spans="1:19" ht="154" customHeight="1">
      <c r="A24" s="3">
        <v>17</v>
      </c>
      <c r="B24" s="14">
        <v>10502003001</v>
      </c>
      <c r="C24" s="14"/>
      <c r="D24" s="4" t="s">
        <v>107</v>
      </c>
      <c r="E24" s="14" t="s">
        <v>105</v>
      </c>
      <c r="F24" s="14"/>
      <c r="G24" s="14"/>
      <c r="H24" s="3" t="s">
        <v>79</v>
      </c>
      <c r="I24" s="11">
        <v>274.02</v>
      </c>
      <c r="J24" s="16">
        <v>458.11</v>
      </c>
      <c r="K24" s="15"/>
      <c r="L24" s="11">
        <v>125531.3</v>
      </c>
    </row>
    <row r="25" spans="1:19" ht="154" customHeight="1">
      <c r="A25" s="3">
        <v>18</v>
      </c>
      <c r="B25" s="14">
        <v>10502005001</v>
      </c>
      <c r="C25" s="14"/>
      <c r="D25" s="4" t="s">
        <v>108</v>
      </c>
      <c r="E25" s="14" t="s">
        <v>105</v>
      </c>
      <c r="F25" s="14"/>
      <c r="G25" s="14"/>
      <c r="H25" s="3" t="s">
        <v>79</v>
      </c>
      <c r="I25" s="11">
        <v>1232.83</v>
      </c>
      <c r="J25" s="16">
        <v>450.14</v>
      </c>
      <c r="K25" s="15"/>
      <c r="L25" s="11">
        <v>554946.1</v>
      </c>
    </row>
    <row r="26" spans="1:19" ht="169" customHeight="1">
      <c r="A26" s="3">
        <v>19</v>
      </c>
      <c r="B26" s="14">
        <v>10502033001</v>
      </c>
      <c r="C26" s="14"/>
      <c r="D26" s="4" t="s">
        <v>109</v>
      </c>
      <c r="E26" s="14" t="s">
        <v>110</v>
      </c>
      <c r="F26" s="14"/>
      <c r="G26" s="14"/>
      <c r="H26" s="3" t="s">
        <v>79</v>
      </c>
      <c r="I26" s="11">
        <v>10.37</v>
      </c>
      <c r="J26" s="16">
        <v>543.16999999999996</v>
      </c>
      <c r="K26" s="15"/>
      <c r="L26" s="11">
        <v>5632.67</v>
      </c>
    </row>
    <row r="27" spans="1:19" ht="23" customHeight="1">
      <c r="A27" s="3" t="s">
        <v>53</v>
      </c>
      <c r="B27" s="14" t="s">
        <v>53</v>
      </c>
      <c r="C27" s="14"/>
      <c r="D27" s="4" t="s">
        <v>111</v>
      </c>
      <c r="E27" s="14" t="s">
        <v>53</v>
      </c>
      <c r="F27" s="14"/>
      <c r="G27" s="14"/>
      <c r="H27" s="3" t="s">
        <v>53</v>
      </c>
      <c r="I27" s="10" t="s">
        <v>53</v>
      </c>
      <c r="J27" s="15" t="s">
        <v>53</v>
      </c>
      <c r="K27" s="15"/>
      <c r="L27" s="11">
        <v>12691306.619999999</v>
      </c>
    </row>
    <row r="28" spans="1:19" ht="183" customHeight="1">
      <c r="A28" s="3">
        <v>20</v>
      </c>
      <c r="B28" s="14">
        <v>10502006003</v>
      </c>
      <c r="C28" s="14"/>
      <c r="D28" s="4" t="s">
        <v>100</v>
      </c>
      <c r="E28" s="14" t="s">
        <v>101</v>
      </c>
      <c r="F28" s="14"/>
      <c r="G28" s="14"/>
      <c r="H28" s="3" t="s">
        <v>79</v>
      </c>
      <c r="I28" s="11">
        <v>2002.44</v>
      </c>
      <c r="J28" s="16">
        <v>615.02</v>
      </c>
      <c r="K28" s="15"/>
      <c r="L28" s="11">
        <v>1231540.6499999999</v>
      </c>
    </row>
    <row r="29" spans="1:19" ht="183" customHeight="1">
      <c r="A29" s="3">
        <v>21</v>
      </c>
      <c r="B29" s="14">
        <v>10502006004</v>
      </c>
      <c r="C29" s="14"/>
      <c r="D29" s="4" t="s">
        <v>112</v>
      </c>
      <c r="E29" s="14" t="s">
        <v>113</v>
      </c>
      <c r="F29" s="14"/>
      <c r="G29" s="14"/>
      <c r="H29" s="3" t="s">
        <v>79</v>
      </c>
      <c r="I29" s="11">
        <v>1851.05</v>
      </c>
      <c r="J29" s="16">
        <v>595.05999999999995</v>
      </c>
      <c r="K29" s="15"/>
      <c r="L29" s="11">
        <v>1101485.81</v>
      </c>
    </row>
    <row r="30" spans="1:19" ht="183" customHeight="1">
      <c r="A30" s="3">
        <v>22</v>
      </c>
      <c r="B30" s="14">
        <v>10502006005</v>
      </c>
      <c r="C30" s="14"/>
      <c r="D30" s="4" t="s">
        <v>114</v>
      </c>
      <c r="E30" s="14" t="s">
        <v>103</v>
      </c>
      <c r="F30" s="14"/>
      <c r="G30" s="14"/>
      <c r="H30" s="3" t="s">
        <v>79</v>
      </c>
      <c r="I30" s="11">
        <v>756.75</v>
      </c>
      <c r="J30" s="16">
        <v>581.75</v>
      </c>
      <c r="K30" s="15"/>
      <c r="L30" s="11">
        <v>440239.31</v>
      </c>
    </row>
    <row r="31" spans="1:19" ht="183" customHeight="1">
      <c r="A31" s="3">
        <v>23</v>
      </c>
      <c r="B31" s="14">
        <v>10502006006</v>
      </c>
      <c r="C31" s="14"/>
      <c r="D31" s="4" t="s">
        <v>102</v>
      </c>
      <c r="E31" s="14" t="s">
        <v>103</v>
      </c>
      <c r="F31" s="14"/>
      <c r="G31" s="14"/>
      <c r="H31" s="3" t="s">
        <v>79</v>
      </c>
      <c r="I31" s="11">
        <v>411.83</v>
      </c>
      <c r="J31" s="16">
        <v>581.75</v>
      </c>
      <c r="K31" s="15"/>
      <c r="L31" s="11">
        <v>239582.1</v>
      </c>
    </row>
    <row r="32" spans="1:19" ht="183" customHeight="1">
      <c r="A32" s="3">
        <v>24</v>
      </c>
      <c r="B32" s="14">
        <v>10502010002</v>
      </c>
      <c r="C32" s="14"/>
      <c r="D32" s="4" t="s">
        <v>106</v>
      </c>
      <c r="E32" s="14" t="s">
        <v>103</v>
      </c>
      <c r="F32" s="14"/>
      <c r="G32" s="14"/>
      <c r="H32" s="3" t="s">
        <v>79</v>
      </c>
      <c r="I32" s="11">
        <v>209.24</v>
      </c>
      <c r="J32" s="16">
        <v>505.37</v>
      </c>
      <c r="K32" s="15"/>
      <c r="L32" s="11">
        <v>105743.62</v>
      </c>
    </row>
    <row r="33" spans="1:12" ht="183" customHeight="1">
      <c r="A33" s="3">
        <v>25</v>
      </c>
      <c r="B33" s="14">
        <v>10502011001</v>
      </c>
      <c r="C33" s="14"/>
      <c r="D33" s="4" t="s">
        <v>115</v>
      </c>
      <c r="E33" s="14" t="s">
        <v>116</v>
      </c>
      <c r="F33" s="14"/>
      <c r="G33" s="14"/>
      <c r="H33" s="3" t="s">
        <v>79</v>
      </c>
      <c r="I33" s="11">
        <v>6818.06</v>
      </c>
      <c r="J33" s="16">
        <v>468.51</v>
      </c>
      <c r="K33" s="15"/>
      <c r="L33" s="11">
        <v>3194329.29</v>
      </c>
    </row>
    <row r="34" spans="1:12" ht="183" customHeight="1">
      <c r="A34" s="3">
        <v>26</v>
      </c>
      <c r="B34" s="14">
        <v>10502011002</v>
      </c>
      <c r="C34" s="14"/>
      <c r="D34" s="4" t="s">
        <v>117</v>
      </c>
      <c r="E34" s="14" t="s">
        <v>103</v>
      </c>
      <c r="F34" s="14"/>
      <c r="G34" s="14"/>
      <c r="H34" s="3" t="s">
        <v>79</v>
      </c>
      <c r="I34" s="11">
        <v>6671.21</v>
      </c>
      <c r="J34" s="16">
        <v>478.38</v>
      </c>
      <c r="K34" s="15"/>
      <c r="L34" s="11">
        <v>3191373.44</v>
      </c>
    </row>
    <row r="35" spans="1:12" ht="183" customHeight="1">
      <c r="A35" s="3">
        <v>27</v>
      </c>
      <c r="B35" s="14">
        <v>10502013001</v>
      </c>
      <c r="C35" s="14"/>
      <c r="D35" s="4" t="s">
        <v>118</v>
      </c>
      <c r="E35" s="14" t="s">
        <v>116</v>
      </c>
      <c r="F35" s="14"/>
      <c r="G35" s="14"/>
      <c r="H35" s="3" t="s">
        <v>79</v>
      </c>
      <c r="I35" s="11">
        <v>2708.52</v>
      </c>
      <c r="J35" s="16">
        <v>468.27</v>
      </c>
      <c r="K35" s="15"/>
      <c r="L35" s="11">
        <v>1268318.6599999999</v>
      </c>
    </row>
    <row r="36" spans="1:12" ht="183" customHeight="1">
      <c r="A36" s="3">
        <v>28</v>
      </c>
      <c r="B36" s="14">
        <v>10502013002</v>
      </c>
      <c r="C36" s="14"/>
      <c r="D36" s="4" t="s">
        <v>119</v>
      </c>
      <c r="E36" s="14" t="s">
        <v>103</v>
      </c>
      <c r="F36" s="14"/>
      <c r="G36" s="14"/>
      <c r="H36" s="3" t="s">
        <v>79</v>
      </c>
      <c r="I36" s="11">
        <v>2496.6799999999998</v>
      </c>
      <c r="J36" s="16">
        <v>478.15</v>
      </c>
      <c r="K36" s="15"/>
      <c r="L36" s="11">
        <v>1193787.54</v>
      </c>
    </row>
    <row r="37" spans="1:12" ht="154" customHeight="1">
      <c r="A37" s="3">
        <v>29</v>
      </c>
      <c r="B37" s="14">
        <v>10502013003</v>
      </c>
      <c r="C37" s="14"/>
      <c r="D37" s="4" t="s">
        <v>120</v>
      </c>
      <c r="E37" s="14" t="s">
        <v>121</v>
      </c>
      <c r="F37" s="14"/>
      <c r="G37" s="14"/>
      <c r="H37" s="3" t="s">
        <v>79</v>
      </c>
      <c r="I37" s="11">
        <v>1</v>
      </c>
      <c r="J37" s="16">
        <v>592.77</v>
      </c>
      <c r="K37" s="15"/>
      <c r="L37" s="11">
        <v>592.77</v>
      </c>
    </row>
    <row r="38" spans="1:12" ht="183" customHeight="1">
      <c r="A38" s="3">
        <v>30</v>
      </c>
      <c r="B38" s="14">
        <v>10502018001</v>
      </c>
      <c r="C38" s="14"/>
      <c r="D38" s="4" t="s">
        <v>122</v>
      </c>
      <c r="E38" s="14" t="s">
        <v>116</v>
      </c>
      <c r="F38" s="14"/>
      <c r="G38" s="14"/>
      <c r="H38" s="3" t="s">
        <v>79</v>
      </c>
      <c r="I38" s="11">
        <v>559.04999999999995</v>
      </c>
      <c r="J38" s="16">
        <v>478.67</v>
      </c>
      <c r="K38" s="15"/>
      <c r="L38" s="11">
        <v>267600.46000000002</v>
      </c>
    </row>
    <row r="39" spans="1:12" ht="183" customHeight="1">
      <c r="A39" s="3">
        <v>31</v>
      </c>
      <c r="B39" s="14">
        <v>10502018002</v>
      </c>
      <c r="C39" s="14"/>
      <c r="D39" s="4" t="s">
        <v>123</v>
      </c>
      <c r="E39" s="14" t="s">
        <v>103</v>
      </c>
      <c r="F39" s="14"/>
      <c r="G39" s="14"/>
      <c r="H39" s="3" t="s">
        <v>79</v>
      </c>
      <c r="I39" s="11">
        <v>160.99</v>
      </c>
      <c r="J39" s="16">
        <v>488.55</v>
      </c>
      <c r="K39" s="15"/>
      <c r="L39" s="11">
        <v>78651.66</v>
      </c>
    </row>
    <row r="40" spans="1:12" ht="154" customHeight="1">
      <c r="A40" s="3">
        <v>32</v>
      </c>
      <c r="B40" s="14">
        <v>10502018003</v>
      </c>
      <c r="C40" s="14"/>
      <c r="D40" s="4" t="s">
        <v>124</v>
      </c>
      <c r="E40" s="14" t="s">
        <v>121</v>
      </c>
      <c r="F40" s="14"/>
      <c r="G40" s="14"/>
      <c r="H40" s="3" t="s">
        <v>79</v>
      </c>
      <c r="I40" s="11">
        <v>1</v>
      </c>
      <c r="J40" s="16">
        <v>592.1</v>
      </c>
      <c r="K40" s="15"/>
      <c r="L40" s="11">
        <v>592.1</v>
      </c>
    </row>
    <row r="41" spans="1:12" ht="154" customHeight="1">
      <c r="A41" s="3">
        <v>33</v>
      </c>
      <c r="B41" s="14">
        <v>10502019001</v>
      </c>
      <c r="C41" s="14"/>
      <c r="D41" s="4" t="s">
        <v>125</v>
      </c>
      <c r="E41" s="14" t="s">
        <v>121</v>
      </c>
      <c r="F41" s="14"/>
      <c r="G41" s="14"/>
      <c r="H41" s="3" t="s">
        <v>79</v>
      </c>
      <c r="I41" s="11">
        <v>1</v>
      </c>
      <c r="J41" s="16">
        <v>686.15</v>
      </c>
      <c r="K41" s="15"/>
      <c r="L41" s="11">
        <v>686.15</v>
      </c>
    </row>
    <row r="42" spans="1:12" ht="183" customHeight="1">
      <c r="A42" s="3">
        <v>34</v>
      </c>
      <c r="B42" s="14">
        <v>10502020001</v>
      </c>
      <c r="C42" s="14"/>
      <c r="D42" s="4" t="s">
        <v>126</v>
      </c>
      <c r="E42" s="14" t="s">
        <v>116</v>
      </c>
      <c r="F42" s="14"/>
      <c r="G42" s="14"/>
      <c r="H42" s="3" t="s">
        <v>79</v>
      </c>
      <c r="I42" s="11">
        <v>103.11</v>
      </c>
      <c r="J42" s="16">
        <v>525.94000000000005</v>
      </c>
      <c r="K42" s="15"/>
      <c r="L42" s="11">
        <v>54229.67</v>
      </c>
    </row>
    <row r="43" spans="1:12" ht="183" customHeight="1">
      <c r="A43" s="3">
        <v>35</v>
      </c>
      <c r="B43" s="14">
        <v>10502020002</v>
      </c>
      <c r="C43" s="14"/>
      <c r="D43" s="4" t="s">
        <v>127</v>
      </c>
      <c r="E43" s="14" t="s">
        <v>103</v>
      </c>
      <c r="F43" s="14"/>
      <c r="G43" s="14"/>
      <c r="H43" s="3" t="s">
        <v>79</v>
      </c>
      <c r="I43" s="11">
        <v>119.69</v>
      </c>
      <c r="J43" s="16">
        <v>535.82000000000005</v>
      </c>
      <c r="K43" s="15"/>
      <c r="L43" s="11">
        <v>64132.3</v>
      </c>
    </row>
    <row r="44" spans="1:12" ht="154" customHeight="1">
      <c r="A44" s="3">
        <v>36</v>
      </c>
      <c r="B44" s="14">
        <v>10502021001</v>
      </c>
      <c r="C44" s="14"/>
      <c r="D44" s="4" t="s">
        <v>128</v>
      </c>
      <c r="E44" s="14" t="s">
        <v>121</v>
      </c>
      <c r="F44" s="14"/>
      <c r="G44" s="14"/>
      <c r="H44" s="3" t="s">
        <v>79</v>
      </c>
      <c r="I44" s="11">
        <v>112.79</v>
      </c>
      <c r="J44" s="16">
        <v>615.16</v>
      </c>
      <c r="K44" s="15"/>
      <c r="L44" s="11">
        <v>69383.899999999994</v>
      </c>
    </row>
    <row r="45" spans="1:12" ht="154" customHeight="1">
      <c r="A45" s="3">
        <v>37</v>
      </c>
      <c r="B45" s="14">
        <v>10502022001</v>
      </c>
      <c r="C45" s="14"/>
      <c r="D45" s="4" t="s">
        <v>129</v>
      </c>
      <c r="E45" s="14" t="s">
        <v>121</v>
      </c>
      <c r="F45" s="14"/>
      <c r="G45" s="14"/>
      <c r="H45" s="3" t="s">
        <v>79</v>
      </c>
      <c r="I45" s="11">
        <v>50.28</v>
      </c>
      <c r="J45" s="16">
        <v>514.92999999999995</v>
      </c>
      <c r="K45" s="15"/>
      <c r="L45" s="11">
        <v>25890.68</v>
      </c>
    </row>
    <row r="46" spans="1:12" ht="183" customHeight="1">
      <c r="A46" s="3">
        <v>38</v>
      </c>
      <c r="B46" s="14">
        <v>10502024001</v>
      </c>
      <c r="C46" s="14"/>
      <c r="D46" s="4" t="s">
        <v>130</v>
      </c>
      <c r="E46" s="14" t="s">
        <v>116</v>
      </c>
      <c r="F46" s="14"/>
      <c r="G46" s="14"/>
      <c r="H46" s="3" t="s">
        <v>79</v>
      </c>
      <c r="I46" s="11">
        <v>86.078000000000003</v>
      </c>
      <c r="J46" s="16">
        <v>475.54</v>
      </c>
      <c r="K46" s="15"/>
      <c r="L46" s="11">
        <v>40933.53</v>
      </c>
    </row>
    <row r="47" spans="1:12" ht="169" customHeight="1">
      <c r="A47" s="3">
        <v>39</v>
      </c>
      <c r="B47" s="14">
        <v>10502033002</v>
      </c>
      <c r="C47" s="14"/>
      <c r="D47" s="4" t="s">
        <v>131</v>
      </c>
      <c r="E47" s="14" t="s">
        <v>132</v>
      </c>
      <c r="F47" s="14"/>
      <c r="G47" s="14"/>
      <c r="H47" s="3" t="s">
        <v>79</v>
      </c>
      <c r="I47" s="11">
        <v>58.25</v>
      </c>
      <c r="J47" s="16">
        <v>555.41999999999996</v>
      </c>
      <c r="K47" s="15"/>
      <c r="L47" s="11">
        <v>32353.22</v>
      </c>
    </row>
    <row r="48" spans="1:12" ht="169" customHeight="1">
      <c r="A48" s="3">
        <v>40</v>
      </c>
      <c r="B48" s="14">
        <v>10502033003</v>
      </c>
      <c r="C48" s="14"/>
      <c r="D48" s="4" t="s">
        <v>133</v>
      </c>
      <c r="E48" s="14" t="s">
        <v>134</v>
      </c>
      <c r="F48" s="14"/>
      <c r="G48" s="14"/>
      <c r="H48" s="3" t="s">
        <v>79</v>
      </c>
      <c r="I48" s="11">
        <v>69.59</v>
      </c>
      <c r="J48" s="16">
        <v>568.66</v>
      </c>
      <c r="K48" s="15"/>
      <c r="L48" s="11">
        <v>39573.050000000003</v>
      </c>
    </row>
    <row r="49" spans="1:12" ht="169" customHeight="1">
      <c r="A49" s="3">
        <v>41</v>
      </c>
      <c r="B49" s="14">
        <v>10502033004</v>
      </c>
      <c r="C49" s="14"/>
      <c r="D49" s="4" t="s">
        <v>135</v>
      </c>
      <c r="E49" s="14" t="s">
        <v>132</v>
      </c>
      <c r="F49" s="14"/>
      <c r="G49" s="14"/>
      <c r="H49" s="3" t="s">
        <v>79</v>
      </c>
      <c r="I49" s="11">
        <v>46.07</v>
      </c>
      <c r="J49" s="16">
        <v>542.34</v>
      </c>
      <c r="K49" s="15"/>
      <c r="L49" s="11">
        <v>24985.599999999999</v>
      </c>
    </row>
    <row r="50" spans="1:12" ht="169" customHeight="1">
      <c r="A50" s="3">
        <v>42</v>
      </c>
      <c r="B50" s="14">
        <v>10502033005</v>
      </c>
      <c r="C50" s="14"/>
      <c r="D50" s="4" t="s">
        <v>136</v>
      </c>
      <c r="E50" s="14" t="s">
        <v>134</v>
      </c>
      <c r="F50" s="14"/>
      <c r="G50" s="14"/>
      <c r="H50" s="3" t="s">
        <v>79</v>
      </c>
      <c r="I50" s="11">
        <v>45.54</v>
      </c>
      <c r="J50" s="16">
        <v>555.58000000000004</v>
      </c>
      <c r="K50" s="15"/>
      <c r="L50" s="11">
        <v>25301.11</v>
      </c>
    </row>
    <row r="51" spans="1:12" ht="23" customHeight="1">
      <c r="A51" s="3" t="s">
        <v>53</v>
      </c>
      <c r="B51" s="14" t="s">
        <v>53</v>
      </c>
      <c r="C51" s="14"/>
      <c r="D51" s="4" t="s">
        <v>16</v>
      </c>
      <c r="E51" s="14" t="s">
        <v>53</v>
      </c>
      <c r="F51" s="14"/>
      <c r="G51" s="14"/>
      <c r="H51" s="3" t="s">
        <v>53</v>
      </c>
      <c r="I51" s="10" t="s">
        <v>53</v>
      </c>
      <c r="J51" s="15" t="s">
        <v>53</v>
      </c>
      <c r="K51" s="15"/>
      <c r="L51" s="11">
        <v>17633959.93</v>
      </c>
    </row>
    <row r="52" spans="1:12" ht="23" customHeight="1">
      <c r="A52" s="3" t="s">
        <v>53</v>
      </c>
      <c r="B52" s="14" t="s">
        <v>53</v>
      </c>
      <c r="C52" s="14"/>
      <c r="D52" s="4" t="s">
        <v>95</v>
      </c>
      <c r="E52" s="14" t="s">
        <v>53</v>
      </c>
      <c r="F52" s="14"/>
      <c r="G52" s="14"/>
      <c r="H52" s="3" t="s">
        <v>53</v>
      </c>
      <c r="I52" s="10" t="s">
        <v>53</v>
      </c>
      <c r="J52" s="15" t="s">
        <v>53</v>
      </c>
      <c r="K52" s="15"/>
      <c r="L52" s="11">
        <v>918444.15</v>
      </c>
    </row>
    <row r="53" spans="1:12" ht="80" customHeight="1">
      <c r="A53" s="3">
        <v>43</v>
      </c>
      <c r="B53" s="14">
        <v>10505002001</v>
      </c>
      <c r="C53" s="14"/>
      <c r="D53" s="4" t="s">
        <v>137</v>
      </c>
      <c r="E53" s="14" t="s">
        <v>138</v>
      </c>
      <c r="F53" s="14"/>
      <c r="G53" s="14"/>
      <c r="H53" s="3" t="s">
        <v>94</v>
      </c>
      <c r="I53" s="11">
        <v>3710.99</v>
      </c>
      <c r="J53" s="16">
        <v>48.15</v>
      </c>
      <c r="K53" s="15"/>
      <c r="L53" s="11">
        <v>178684.17</v>
      </c>
    </row>
    <row r="54" spans="1:12" ht="80" customHeight="1">
      <c r="A54" s="3">
        <v>44</v>
      </c>
      <c r="B54" s="14">
        <v>10505003001</v>
      </c>
      <c r="C54" s="14"/>
      <c r="D54" s="4" t="s">
        <v>139</v>
      </c>
      <c r="E54" s="14" t="s">
        <v>140</v>
      </c>
      <c r="F54" s="14"/>
      <c r="G54" s="14"/>
      <c r="H54" s="3" t="s">
        <v>94</v>
      </c>
      <c r="I54" s="11">
        <v>7573.89</v>
      </c>
      <c r="J54" s="16">
        <v>56.08</v>
      </c>
      <c r="K54" s="15"/>
      <c r="L54" s="11">
        <v>424743.75</v>
      </c>
    </row>
    <row r="55" spans="1:12" ht="80" customHeight="1">
      <c r="A55" s="3">
        <v>45</v>
      </c>
      <c r="B55" s="14">
        <v>10505001001</v>
      </c>
      <c r="C55" s="14"/>
      <c r="D55" s="4" t="s">
        <v>141</v>
      </c>
      <c r="E55" s="14" t="s">
        <v>142</v>
      </c>
      <c r="F55" s="14"/>
      <c r="G55" s="14"/>
      <c r="H55" s="3" t="s">
        <v>94</v>
      </c>
      <c r="I55" s="11">
        <v>1023.17</v>
      </c>
      <c r="J55" s="16">
        <v>28.13</v>
      </c>
      <c r="K55" s="15"/>
      <c r="L55" s="11">
        <v>28781.77</v>
      </c>
    </row>
    <row r="56" spans="1:12" ht="80" customHeight="1">
      <c r="A56" s="3">
        <v>46</v>
      </c>
      <c r="B56" s="14">
        <v>10505002002</v>
      </c>
      <c r="C56" s="14"/>
      <c r="D56" s="4" t="s">
        <v>137</v>
      </c>
      <c r="E56" s="14" t="s">
        <v>143</v>
      </c>
      <c r="F56" s="14"/>
      <c r="G56" s="14"/>
      <c r="H56" s="3" t="s">
        <v>94</v>
      </c>
      <c r="I56" s="11">
        <v>168.87</v>
      </c>
      <c r="J56" s="16">
        <v>45.26</v>
      </c>
      <c r="K56" s="15"/>
      <c r="L56" s="11">
        <v>7643.06</v>
      </c>
    </row>
    <row r="57" spans="1:12" ht="110" customHeight="1">
      <c r="A57" s="3">
        <v>47</v>
      </c>
      <c r="B57" s="14">
        <v>10505004001</v>
      </c>
      <c r="C57" s="14"/>
      <c r="D57" s="4" t="s">
        <v>144</v>
      </c>
      <c r="E57" s="14" t="s">
        <v>145</v>
      </c>
      <c r="F57" s="14"/>
      <c r="G57" s="14"/>
      <c r="H57" s="3" t="s">
        <v>94</v>
      </c>
      <c r="I57" s="11">
        <v>1259.54</v>
      </c>
      <c r="J57" s="16">
        <v>59.59</v>
      </c>
      <c r="K57" s="15"/>
      <c r="L57" s="11">
        <v>75055.990000000005</v>
      </c>
    </row>
    <row r="58" spans="1:12" ht="95" customHeight="1">
      <c r="A58" s="3">
        <v>48</v>
      </c>
      <c r="B58" s="14">
        <v>10505004002</v>
      </c>
      <c r="C58" s="14"/>
      <c r="D58" s="4" t="s">
        <v>144</v>
      </c>
      <c r="E58" s="14" t="s">
        <v>146</v>
      </c>
      <c r="F58" s="14"/>
      <c r="G58" s="14"/>
      <c r="H58" s="3" t="s">
        <v>94</v>
      </c>
      <c r="I58" s="11">
        <v>136.47999999999999</v>
      </c>
      <c r="J58" s="16">
        <v>117.23</v>
      </c>
      <c r="K58" s="15"/>
      <c r="L58" s="11">
        <v>15999.55</v>
      </c>
    </row>
    <row r="59" spans="1:12" ht="80" customHeight="1">
      <c r="A59" s="3">
        <v>49</v>
      </c>
      <c r="B59" s="14">
        <v>10505008001</v>
      </c>
      <c r="C59" s="14"/>
      <c r="D59" s="4" t="s">
        <v>147</v>
      </c>
      <c r="E59" s="14" t="s">
        <v>148</v>
      </c>
      <c r="F59" s="14"/>
      <c r="G59" s="14"/>
      <c r="H59" s="3" t="s">
        <v>94</v>
      </c>
      <c r="I59" s="11">
        <v>2195.0700000000002</v>
      </c>
      <c r="J59" s="16">
        <v>59.17</v>
      </c>
      <c r="K59" s="15"/>
      <c r="L59" s="11">
        <v>129882.29</v>
      </c>
    </row>
    <row r="60" spans="1:12" ht="110" customHeight="1">
      <c r="A60" s="3">
        <v>50</v>
      </c>
      <c r="B60" s="14">
        <v>10505005001</v>
      </c>
      <c r="C60" s="14"/>
      <c r="D60" s="4" t="s">
        <v>149</v>
      </c>
      <c r="E60" s="14" t="s">
        <v>150</v>
      </c>
      <c r="F60" s="14"/>
      <c r="G60" s="14"/>
      <c r="H60" s="3" t="s">
        <v>94</v>
      </c>
      <c r="I60" s="11">
        <v>822.76</v>
      </c>
      <c r="J60" s="16">
        <v>48.23</v>
      </c>
      <c r="K60" s="15"/>
      <c r="L60" s="11">
        <v>39681.71</v>
      </c>
    </row>
    <row r="61" spans="1:12" ht="95" customHeight="1">
      <c r="A61" s="3">
        <v>51</v>
      </c>
      <c r="B61" s="14">
        <v>10505007001</v>
      </c>
      <c r="C61" s="14"/>
      <c r="D61" s="4" t="s">
        <v>151</v>
      </c>
      <c r="E61" s="14" t="s">
        <v>152</v>
      </c>
      <c r="F61" s="14"/>
      <c r="G61" s="14"/>
      <c r="H61" s="3" t="s">
        <v>94</v>
      </c>
      <c r="I61" s="11">
        <v>228.12</v>
      </c>
      <c r="J61" s="16">
        <v>60.04</v>
      </c>
      <c r="K61" s="15"/>
      <c r="L61" s="11">
        <v>13696.32</v>
      </c>
    </row>
    <row r="62" spans="1:12" ht="80" customHeight="1">
      <c r="A62" s="3">
        <v>52</v>
      </c>
      <c r="B62" s="14">
        <v>10505019001</v>
      </c>
      <c r="C62" s="14"/>
      <c r="D62" s="4" t="s">
        <v>153</v>
      </c>
      <c r="E62" s="14" t="s">
        <v>154</v>
      </c>
      <c r="F62" s="14"/>
      <c r="G62" s="14"/>
      <c r="H62" s="3" t="s">
        <v>94</v>
      </c>
      <c r="I62" s="11">
        <v>76.239999999999995</v>
      </c>
      <c r="J62" s="16">
        <v>56.08</v>
      </c>
      <c r="K62" s="15"/>
      <c r="L62" s="11">
        <v>4275.54</v>
      </c>
    </row>
    <row r="63" spans="1:12" ht="23" customHeight="1">
      <c r="A63" s="3" t="s">
        <v>53</v>
      </c>
      <c r="B63" s="14" t="s">
        <v>53</v>
      </c>
      <c r="C63" s="14"/>
      <c r="D63" s="4" t="s">
        <v>111</v>
      </c>
      <c r="E63" s="14" t="s">
        <v>53</v>
      </c>
      <c r="F63" s="14"/>
      <c r="G63" s="14"/>
      <c r="H63" s="3" t="s">
        <v>53</v>
      </c>
      <c r="I63" s="10" t="s">
        <v>53</v>
      </c>
      <c r="J63" s="15" t="s">
        <v>53</v>
      </c>
      <c r="K63" s="15"/>
      <c r="L63" s="11">
        <v>16715515.779999999</v>
      </c>
    </row>
    <row r="64" spans="1:12" ht="110" customHeight="1">
      <c r="A64" s="3">
        <v>53</v>
      </c>
      <c r="B64" s="14">
        <v>10505004003</v>
      </c>
      <c r="C64" s="14"/>
      <c r="D64" s="4" t="s">
        <v>144</v>
      </c>
      <c r="E64" s="14" t="s">
        <v>155</v>
      </c>
      <c r="F64" s="14"/>
      <c r="G64" s="14"/>
      <c r="H64" s="3" t="s">
        <v>94</v>
      </c>
      <c r="I64" s="11">
        <v>12835.58</v>
      </c>
      <c r="J64" s="16">
        <v>106.94</v>
      </c>
      <c r="K64" s="15"/>
      <c r="L64" s="11">
        <v>1372636.93</v>
      </c>
    </row>
    <row r="65" spans="1:12" ht="110" customHeight="1">
      <c r="A65" s="3">
        <v>54</v>
      </c>
      <c r="B65" s="14">
        <v>10505004004</v>
      </c>
      <c r="C65" s="14"/>
      <c r="D65" s="4" t="s">
        <v>144</v>
      </c>
      <c r="E65" s="14" t="s">
        <v>156</v>
      </c>
      <c r="F65" s="14"/>
      <c r="G65" s="14"/>
      <c r="H65" s="3" t="s">
        <v>94</v>
      </c>
      <c r="I65" s="11">
        <v>173.76</v>
      </c>
      <c r="J65" s="16">
        <v>101.1</v>
      </c>
      <c r="K65" s="15"/>
      <c r="L65" s="11">
        <v>17567.14</v>
      </c>
    </row>
    <row r="66" spans="1:12" ht="110" customHeight="1">
      <c r="A66" s="3">
        <v>55</v>
      </c>
      <c r="B66" s="14">
        <v>10505004005</v>
      </c>
      <c r="C66" s="14"/>
      <c r="D66" s="4" t="s">
        <v>144</v>
      </c>
      <c r="E66" s="14" t="s">
        <v>157</v>
      </c>
      <c r="F66" s="14"/>
      <c r="G66" s="14"/>
      <c r="H66" s="3" t="s">
        <v>94</v>
      </c>
      <c r="I66" s="11">
        <v>2839.65</v>
      </c>
      <c r="J66" s="16">
        <v>97.98</v>
      </c>
      <c r="K66" s="15"/>
      <c r="L66" s="11">
        <v>278228.90999999997</v>
      </c>
    </row>
    <row r="67" spans="1:12" ht="110" customHeight="1">
      <c r="A67" s="3">
        <v>56</v>
      </c>
      <c r="B67" s="14">
        <v>10505004006</v>
      </c>
      <c r="C67" s="14"/>
      <c r="D67" s="4" t="s">
        <v>144</v>
      </c>
      <c r="E67" s="14" t="s">
        <v>158</v>
      </c>
      <c r="F67" s="14"/>
      <c r="G67" s="14"/>
      <c r="H67" s="3" t="s">
        <v>94</v>
      </c>
      <c r="I67" s="11">
        <v>46.79</v>
      </c>
      <c r="J67" s="16">
        <v>92.14</v>
      </c>
      <c r="K67" s="15"/>
      <c r="L67" s="11">
        <v>4311.2299999999996</v>
      </c>
    </row>
    <row r="68" spans="1:12" ht="95" customHeight="1">
      <c r="A68" s="3">
        <v>57</v>
      </c>
      <c r="B68" s="14">
        <v>10505004007</v>
      </c>
      <c r="C68" s="14"/>
      <c r="D68" s="4" t="s">
        <v>144</v>
      </c>
      <c r="E68" s="14" t="s">
        <v>146</v>
      </c>
      <c r="F68" s="14"/>
      <c r="G68" s="14"/>
      <c r="H68" s="3" t="s">
        <v>94</v>
      </c>
      <c r="I68" s="11">
        <v>765.90499999999997</v>
      </c>
      <c r="J68" s="16">
        <v>117.23</v>
      </c>
      <c r="K68" s="15"/>
      <c r="L68" s="11">
        <v>89787.04</v>
      </c>
    </row>
    <row r="69" spans="1:12" ht="95" customHeight="1">
      <c r="A69" s="3">
        <v>58</v>
      </c>
      <c r="B69" s="14">
        <v>10505004008</v>
      </c>
      <c r="C69" s="14"/>
      <c r="D69" s="4" t="s">
        <v>144</v>
      </c>
      <c r="E69" s="14" t="s">
        <v>159</v>
      </c>
      <c r="F69" s="14"/>
      <c r="G69" s="14"/>
      <c r="H69" s="3" t="s">
        <v>94</v>
      </c>
      <c r="I69" s="11">
        <v>765.90499999999997</v>
      </c>
      <c r="J69" s="16">
        <v>142.47999999999999</v>
      </c>
      <c r="K69" s="15"/>
      <c r="L69" s="11">
        <v>109126.14</v>
      </c>
    </row>
    <row r="70" spans="1:12" ht="110" customHeight="1">
      <c r="A70" s="3">
        <v>59</v>
      </c>
      <c r="B70" s="14">
        <v>10505005002</v>
      </c>
      <c r="C70" s="14"/>
      <c r="D70" s="4" t="s">
        <v>149</v>
      </c>
      <c r="E70" s="14" t="s">
        <v>160</v>
      </c>
      <c r="F70" s="14"/>
      <c r="G70" s="14"/>
      <c r="H70" s="3" t="s">
        <v>94</v>
      </c>
      <c r="I70" s="11">
        <v>1929.03</v>
      </c>
      <c r="J70" s="16">
        <v>43.41</v>
      </c>
      <c r="K70" s="15"/>
      <c r="L70" s="11">
        <v>83739.19</v>
      </c>
    </row>
    <row r="71" spans="1:12" ht="110" customHeight="1">
      <c r="A71" s="3">
        <v>60</v>
      </c>
      <c r="B71" s="14">
        <v>10505006001</v>
      </c>
      <c r="C71" s="14"/>
      <c r="D71" s="4" t="s">
        <v>161</v>
      </c>
      <c r="E71" s="14" t="s">
        <v>162</v>
      </c>
      <c r="F71" s="14"/>
      <c r="G71" s="14"/>
      <c r="H71" s="3" t="s">
        <v>94</v>
      </c>
      <c r="I71" s="11">
        <v>1096.3499999999999</v>
      </c>
      <c r="J71" s="16">
        <v>78.28</v>
      </c>
      <c r="K71" s="15"/>
      <c r="L71" s="11">
        <v>85822.28</v>
      </c>
    </row>
    <row r="72" spans="1:12" ht="110" customHeight="1">
      <c r="A72" s="3">
        <v>61</v>
      </c>
      <c r="B72" s="14">
        <v>10505006002</v>
      </c>
      <c r="C72" s="14"/>
      <c r="D72" s="4" t="s">
        <v>161</v>
      </c>
      <c r="E72" s="14" t="s">
        <v>163</v>
      </c>
      <c r="F72" s="14"/>
      <c r="G72" s="14"/>
      <c r="H72" s="3" t="s">
        <v>94</v>
      </c>
      <c r="I72" s="11">
        <v>148.68</v>
      </c>
      <c r="J72" s="16">
        <v>79.75</v>
      </c>
      <c r="K72" s="15"/>
      <c r="L72" s="11">
        <v>11857.23</v>
      </c>
    </row>
    <row r="73" spans="1:12" ht="110" customHeight="1">
      <c r="A73" s="3">
        <v>62</v>
      </c>
      <c r="B73" s="14">
        <v>10505006003</v>
      </c>
      <c r="C73" s="14"/>
      <c r="D73" s="4" t="s">
        <v>161</v>
      </c>
      <c r="E73" s="14" t="s">
        <v>164</v>
      </c>
      <c r="F73" s="14"/>
      <c r="G73" s="14"/>
      <c r="H73" s="3" t="s">
        <v>94</v>
      </c>
      <c r="I73" s="11">
        <v>4251.8599999999997</v>
      </c>
      <c r="J73" s="16">
        <v>86.08</v>
      </c>
      <c r="K73" s="15"/>
      <c r="L73" s="11">
        <v>366000.11</v>
      </c>
    </row>
    <row r="74" spans="1:12" ht="110" customHeight="1">
      <c r="A74" s="3">
        <v>63</v>
      </c>
      <c r="B74" s="14">
        <v>10505006004</v>
      </c>
      <c r="C74" s="14"/>
      <c r="D74" s="4" t="s">
        <v>161</v>
      </c>
      <c r="E74" s="14" t="s">
        <v>165</v>
      </c>
      <c r="F74" s="14"/>
      <c r="G74" s="14"/>
      <c r="H74" s="3" t="s">
        <v>94</v>
      </c>
      <c r="I74" s="11">
        <v>69.25</v>
      </c>
      <c r="J74" s="16">
        <v>160.58000000000001</v>
      </c>
      <c r="K74" s="15"/>
      <c r="L74" s="11">
        <v>11120.17</v>
      </c>
    </row>
    <row r="75" spans="1:12" ht="110" customHeight="1">
      <c r="A75" s="3">
        <v>64</v>
      </c>
      <c r="B75" s="14">
        <v>10505006005</v>
      </c>
      <c r="C75" s="14"/>
      <c r="D75" s="4" t="s">
        <v>161</v>
      </c>
      <c r="E75" s="14" t="s">
        <v>166</v>
      </c>
      <c r="F75" s="14"/>
      <c r="G75" s="14"/>
      <c r="H75" s="3" t="s">
        <v>94</v>
      </c>
      <c r="I75" s="11">
        <v>56558.6</v>
      </c>
      <c r="J75" s="16">
        <v>163.36000000000001</v>
      </c>
      <c r="K75" s="15"/>
      <c r="L75" s="11">
        <v>9239412.9000000004</v>
      </c>
    </row>
    <row r="76" spans="1:12" ht="95" customHeight="1">
      <c r="A76" s="3">
        <v>65</v>
      </c>
      <c r="B76" s="14">
        <v>10505007002</v>
      </c>
      <c r="C76" s="14"/>
      <c r="D76" s="4" t="s">
        <v>151</v>
      </c>
      <c r="E76" s="14" t="s">
        <v>152</v>
      </c>
      <c r="F76" s="14"/>
      <c r="G76" s="14"/>
      <c r="H76" s="3" t="s">
        <v>94</v>
      </c>
      <c r="I76" s="11">
        <v>240.77</v>
      </c>
      <c r="J76" s="16">
        <v>60.04</v>
      </c>
      <c r="K76" s="15"/>
      <c r="L76" s="11">
        <v>14455.83</v>
      </c>
    </row>
    <row r="77" spans="1:12" ht="95" customHeight="1">
      <c r="A77" s="3">
        <v>66</v>
      </c>
      <c r="B77" s="14">
        <v>10505007003</v>
      </c>
      <c r="C77" s="14"/>
      <c r="D77" s="4" t="s">
        <v>151</v>
      </c>
      <c r="E77" s="14" t="s">
        <v>167</v>
      </c>
      <c r="F77" s="14"/>
      <c r="G77" s="14"/>
      <c r="H77" s="3" t="s">
        <v>94</v>
      </c>
      <c r="I77" s="11">
        <v>1401.1</v>
      </c>
      <c r="J77" s="16">
        <v>68.62</v>
      </c>
      <c r="K77" s="15"/>
      <c r="L77" s="11">
        <v>96143.48</v>
      </c>
    </row>
    <row r="78" spans="1:12" ht="95" customHeight="1">
      <c r="A78" s="3">
        <v>67</v>
      </c>
      <c r="B78" s="14">
        <v>10505007004</v>
      </c>
      <c r="C78" s="14"/>
      <c r="D78" s="4" t="s">
        <v>151</v>
      </c>
      <c r="E78" s="14" t="s">
        <v>168</v>
      </c>
      <c r="F78" s="14"/>
      <c r="G78" s="14"/>
      <c r="H78" s="3" t="s">
        <v>94</v>
      </c>
      <c r="I78" s="11">
        <v>1077.6400000000001</v>
      </c>
      <c r="J78" s="16">
        <v>77.209999999999994</v>
      </c>
      <c r="K78" s="15"/>
      <c r="L78" s="11">
        <v>83204.58</v>
      </c>
    </row>
    <row r="79" spans="1:12" ht="95" customHeight="1">
      <c r="A79" s="3">
        <v>68</v>
      </c>
      <c r="B79" s="14">
        <v>10505007005</v>
      </c>
      <c r="C79" s="14"/>
      <c r="D79" s="4" t="s">
        <v>151</v>
      </c>
      <c r="E79" s="14" t="s">
        <v>169</v>
      </c>
      <c r="F79" s="14"/>
      <c r="G79" s="14"/>
      <c r="H79" s="3" t="s">
        <v>94</v>
      </c>
      <c r="I79" s="11">
        <v>11653.17</v>
      </c>
      <c r="J79" s="16">
        <v>102.96</v>
      </c>
      <c r="K79" s="15"/>
      <c r="L79" s="11">
        <v>1199810.3799999999</v>
      </c>
    </row>
    <row r="80" spans="1:12" ht="95" customHeight="1">
      <c r="A80" s="3">
        <v>69</v>
      </c>
      <c r="B80" s="14">
        <v>10505007006</v>
      </c>
      <c r="C80" s="14"/>
      <c r="D80" s="4" t="s">
        <v>151</v>
      </c>
      <c r="E80" s="14" t="s">
        <v>170</v>
      </c>
      <c r="F80" s="14"/>
      <c r="G80" s="14"/>
      <c r="H80" s="3" t="s">
        <v>94</v>
      </c>
      <c r="I80" s="11">
        <v>19013.3</v>
      </c>
      <c r="J80" s="16">
        <v>153.57</v>
      </c>
      <c r="K80" s="15"/>
      <c r="L80" s="11">
        <v>2919872.48</v>
      </c>
    </row>
    <row r="81" spans="1:12" ht="95" customHeight="1">
      <c r="A81" s="3">
        <v>70</v>
      </c>
      <c r="B81" s="14">
        <v>10505007007</v>
      </c>
      <c r="C81" s="14"/>
      <c r="D81" s="4" t="s">
        <v>171</v>
      </c>
      <c r="E81" s="14" t="s">
        <v>172</v>
      </c>
      <c r="F81" s="14"/>
      <c r="G81" s="14"/>
      <c r="H81" s="3" t="s">
        <v>94</v>
      </c>
      <c r="I81" s="11">
        <v>1252.8499999999999</v>
      </c>
      <c r="J81" s="16">
        <v>115.37</v>
      </c>
      <c r="K81" s="15"/>
      <c r="L81" s="11">
        <v>144541.29999999999</v>
      </c>
    </row>
    <row r="82" spans="1:12" ht="95" customHeight="1">
      <c r="A82" s="3">
        <v>71</v>
      </c>
      <c r="B82" s="14">
        <v>10505007008</v>
      </c>
      <c r="C82" s="14"/>
      <c r="D82" s="4" t="s">
        <v>171</v>
      </c>
      <c r="E82" s="14" t="s">
        <v>173</v>
      </c>
      <c r="F82" s="14"/>
      <c r="G82" s="14"/>
      <c r="H82" s="3" t="s">
        <v>94</v>
      </c>
      <c r="I82" s="11">
        <v>2130.13</v>
      </c>
      <c r="J82" s="16">
        <v>77.209999999999994</v>
      </c>
      <c r="K82" s="15"/>
      <c r="L82" s="11">
        <v>164467.34</v>
      </c>
    </row>
    <row r="83" spans="1:12" ht="95" customHeight="1">
      <c r="A83" s="3">
        <v>72</v>
      </c>
      <c r="B83" s="14">
        <v>10505007009</v>
      </c>
      <c r="C83" s="14"/>
      <c r="D83" s="4" t="s">
        <v>171</v>
      </c>
      <c r="E83" s="14" t="s">
        <v>174</v>
      </c>
      <c r="F83" s="14"/>
      <c r="G83" s="14"/>
      <c r="H83" s="3" t="s">
        <v>94</v>
      </c>
      <c r="I83" s="11">
        <v>454.15</v>
      </c>
      <c r="J83" s="16">
        <v>60.04</v>
      </c>
      <c r="K83" s="15"/>
      <c r="L83" s="11">
        <v>27267.17</v>
      </c>
    </row>
    <row r="84" spans="1:12" ht="80" customHeight="1">
      <c r="A84" s="3">
        <v>73</v>
      </c>
      <c r="B84" s="14">
        <v>10505008002</v>
      </c>
      <c r="C84" s="14"/>
      <c r="D84" s="4" t="s">
        <v>147</v>
      </c>
      <c r="E84" s="14" t="s">
        <v>148</v>
      </c>
      <c r="F84" s="14"/>
      <c r="G84" s="14"/>
      <c r="H84" s="3" t="s">
        <v>94</v>
      </c>
      <c r="I84" s="11">
        <v>1</v>
      </c>
      <c r="J84" s="16">
        <v>59.17</v>
      </c>
      <c r="K84" s="15"/>
      <c r="L84" s="11">
        <v>59.17</v>
      </c>
    </row>
    <row r="85" spans="1:12" ht="80" customHeight="1">
      <c r="A85" s="3">
        <v>74</v>
      </c>
      <c r="B85" s="14">
        <v>10505010001</v>
      </c>
      <c r="C85" s="14"/>
      <c r="D85" s="4" t="s">
        <v>175</v>
      </c>
      <c r="E85" s="14" t="s">
        <v>176</v>
      </c>
      <c r="F85" s="14"/>
      <c r="G85" s="14"/>
      <c r="H85" s="3" t="s">
        <v>94</v>
      </c>
      <c r="I85" s="11">
        <v>1087.73</v>
      </c>
      <c r="J85" s="16">
        <v>169.82</v>
      </c>
      <c r="K85" s="15"/>
      <c r="L85" s="11">
        <v>184718.31</v>
      </c>
    </row>
    <row r="86" spans="1:12" ht="110" customHeight="1">
      <c r="A86" s="3">
        <v>75</v>
      </c>
      <c r="B86" s="14">
        <v>10505011001</v>
      </c>
      <c r="C86" s="14"/>
      <c r="D86" s="4" t="s">
        <v>177</v>
      </c>
      <c r="E86" s="14" t="s">
        <v>178</v>
      </c>
      <c r="F86" s="14"/>
      <c r="G86" s="14"/>
      <c r="H86" s="3" t="s">
        <v>94</v>
      </c>
      <c r="I86" s="11">
        <v>320.98</v>
      </c>
      <c r="J86" s="16">
        <v>70.849999999999994</v>
      </c>
      <c r="K86" s="15"/>
      <c r="L86" s="11">
        <v>22741.43</v>
      </c>
    </row>
    <row r="87" spans="1:12" ht="110" customHeight="1">
      <c r="A87" s="3">
        <v>76</v>
      </c>
      <c r="B87" s="14">
        <v>10505011002</v>
      </c>
      <c r="C87" s="14"/>
      <c r="D87" s="4" t="s">
        <v>177</v>
      </c>
      <c r="E87" s="14" t="s">
        <v>179</v>
      </c>
      <c r="F87" s="14"/>
      <c r="G87" s="14"/>
      <c r="H87" s="3" t="s">
        <v>94</v>
      </c>
      <c r="I87" s="11">
        <v>320.98</v>
      </c>
      <c r="J87" s="16">
        <v>75.099999999999994</v>
      </c>
      <c r="K87" s="15"/>
      <c r="L87" s="11">
        <v>24105.599999999999</v>
      </c>
    </row>
    <row r="88" spans="1:12" ht="110" customHeight="1">
      <c r="A88" s="3">
        <v>77</v>
      </c>
      <c r="B88" s="14">
        <v>10505011003</v>
      </c>
      <c r="C88" s="14"/>
      <c r="D88" s="4" t="s">
        <v>177</v>
      </c>
      <c r="E88" s="14" t="s">
        <v>180</v>
      </c>
      <c r="F88" s="14"/>
      <c r="G88" s="14"/>
      <c r="H88" s="3" t="s">
        <v>94</v>
      </c>
      <c r="I88" s="11">
        <v>320.98</v>
      </c>
      <c r="J88" s="16">
        <v>109.83</v>
      </c>
      <c r="K88" s="15"/>
      <c r="L88" s="11">
        <v>35253.230000000003</v>
      </c>
    </row>
    <row r="89" spans="1:12" ht="110" customHeight="1">
      <c r="A89" s="3">
        <v>78</v>
      </c>
      <c r="B89" s="14">
        <v>10505011004</v>
      </c>
      <c r="C89" s="14"/>
      <c r="D89" s="4" t="s">
        <v>177</v>
      </c>
      <c r="E89" s="14" t="s">
        <v>181</v>
      </c>
      <c r="F89" s="14"/>
      <c r="G89" s="14"/>
      <c r="H89" s="3" t="s">
        <v>94</v>
      </c>
      <c r="I89" s="11">
        <v>320.98</v>
      </c>
      <c r="J89" s="16">
        <v>109.83</v>
      </c>
      <c r="K89" s="15"/>
      <c r="L89" s="11">
        <v>35253.230000000003</v>
      </c>
    </row>
    <row r="90" spans="1:12" ht="80" customHeight="1">
      <c r="A90" s="3">
        <v>79</v>
      </c>
      <c r="B90" s="14">
        <v>10505012001</v>
      </c>
      <c r="C90" s="14"/>
      <c r="D90" s="4" t="s">
        <v>182</v>
      </c>
      <c r="E90" s="14" t="s">
        <v>183</v>
      </c>
      <c r="F90" s="14"/>
      <c r="G90" s="14"/>
      <c r="H90" s="3" t="s">
        <v>94</v>
      </c>
      <c r="I90" s="11">
        <v>545.21</v>
      </c>
      <c r="J90" s="16">
        <v>49.73</v>
      </c>
      <c r="K90" s="15"/>
      <c r="L90" s="11">
        <v>27113.29</v>
      </c>
    </row>
    <row r="91" spans="1:12" ht="95" customHeight="1">
      <c r="A91" s="3">
        <v>80</v>
      </c>
      <c r="B91" s="14">
        <v>10505012002</v>
      </c>
      <c r="C91" s="14"/>
      <c r="D91" s="4" t="s">
        <v>184</v>
      </c>
      <c r="E91" s="14" t="s">
        <v>185</v>
      </c>
      <c r="F91" s="14"/>
      <c r="G91" s="14"/>
      <c r="H91" s="3" t="s">
        <v>94</v>
      </c>
      <c r="I91" s="11">
        <v>9</v>
      </c>
      <c r="J91" s="16">
        <v>71.3</v>
      </c>
      <c r="K91" s="15"/>
      <c r="L91" s="11">
        <v>641.70000000000005</v>
      </c>
    </row>
    <row r="92" spans="1:12" ht="80" customHeight="1">
      <c r="A92" s="3">
        <v>81</v>
      </c>
      <c r="B92" s="14">
        <v>10505006006</v>
      </c>
      <c r="C92" s="14"/>
      <c r="D92" s="4" t="s">
        <v>186</v>
      </c>
      <c r="E92" s="14" t="s">
        <v>187</v>
      </c>
      <c r="F92" s="14"/>
      <c r="G92" s="14"/>
      <c r="H92" s="3" t="s">
        <v>94</v>
      </c>
      <c r="I92" s="11">
        <v>494.37</v>
      </c>
      <c r="J92" s="16">
        <v>64.16</v>
      </c>
      <c r="K92" s="15"/>
      <c r="L92" s="11">
        <v>31718.78</v>
      </c>
    </row>
    <row r="93" spans="1:12" ht="80" customHeight="1">
      <c r="A93" s="3">
        <v>82</v>
      </c>
      <c r="B93" s="14">
        <v>10505007010</v>
      </c>
      <c r="C93" s="14"/>
      <c r="D93" s="4" t="s">
        <v>188</v>
      </c>
      <c r="E93" s="14" t="s">
        <v>189</v>
      </c>
      <c r="F93" s="14"/>
      <c r="G93" s="14"/>
      <c r="H93" s="3" t="s">
        <v>94</v>
      </c>
      <c r="I93" s="11">
        <v>575.27</v>
      </c>
      <c r="J93" s="16">
        <v>60.04</v>
      </c>
      <c r="K93" s="15"/>
      <c r="L93" s="11">
        <v>34539.21</v>
      </c>
    </row>
    <row r="94" spans="1:12" ht="23" customHeight="1">
      <c r="A94" s="3" t="s">
        <v>53</v>
      </c>
      <c r="B94" s="14" t="s">
        <v>53</v>
      </c>
      <c r="C94" s="14"/>
      <c r="D94" s="4" t="s">
        <v>19</v>
      </c>
      <c r="E94" s="14" t="s">
        <v>53</v>
      </c>
      <c r="F94" s="14"/>
      <c r="G94" s="14"/>
      <c r="H94" s="3" t="s">
        <v>53</v>
      </c>
      <c r="I94" s="10" t="s">
        <v>53</v>
      </c>
      <c r="J94" s="15" t="s">
        <v>53</v>
      </c>
      <c r="K94" s="15"/>
      <c r="L94" s="11">
        <v>23095423.809999999</v>
      </c>
    </row>
    <row r="95" spans="1:12" ht="23" customHeight="1">
      <c r="A95" s="3" t="s">
        <v>53</v>
      </c>
      <c r="B95" s="14" t="s">
        <v>53</v>
      </c>
      <c r="C95" s="14"/>
      <c r="D95" s="4" t="s">
        <v>95</v>
      </c>
      <c r="E95" s="14" t="s">
        <v>53</v>
      </c>
      <c r="F95" s="14"/>
      <c r="G95" s="14"/>
      <c r="H95" s="3" t="s">
        <v>53</v>
      </c>
      <c r="I95" s="10" t="s">
        <v>53</v>
      </c>
      <c r="J95" s="15" t="s">
        <v>53</v>
      </c>
      <c r="K95" s="15"/>
      <c r="L95" s="11">
        <v>3114933.96</v>
      </c>
    </row>
    <row r="96" spans="1:12" ht="409" customHeight="1">
      <c r="A96" s="17">
        <v>83</v>
      </c>
      <c r="B96" s="14">
        <v>10506001001</v>
      </c>
      <c r="C96" s="14"/>
      <c r="D96" s="14" t="s">
        <v>190</v>
      </c>
      <c r="E96" s="14" t="s">
        <v>191</v>
      </c>
      <c r="F96" s="14"/>
      <c r="G96" s="14"/>
      <c r="H96" s="17" t="s">
        <v>192</v>
      </c>
      <c r="I96" s="16">
        <v>22.22</v>
      </c>
      <c r="J96" s="16">
        <v>3936.12</v>
      </c>
      <c r="K96" s="15"/>
      <c r="L96" s="16">
        <v>87460.59</v>
      </c>
    </row>
    <row r="97" spans="1:19" ht="12" customHeight="1">
      <c r="A97" s="17"/>
      <c r="B97" s="14"/>
      <c r="C97" s="14"/>
      <c r="D97" s="14"/>
      <c r="E97" s="14"/>
      <c r="F97" s="14"/>
      <c r="G97" s="14"/>
      <c r="H97" s="17"/>
      <c r="I97" s="18"/>
      <c r="J97" s="15"/>
      <c r="K97" s="15"/>
      <c r="L97" s="15"/>
    </row>
    <row r="98" spans="1:19" ht="409" customHeight="1">
      <c r="A98" s="17">
        <v>84</v>
      </c>
      <c r="B98" s="14">
        <v>10506001002</v>
      </c>
      <c r="C98" s="14"/>
      <c r="D98" s="14" t="s">
        <v>190</v>
      </c>
      <c r="E98" s="14" t="s">
        <v>193</v>
      </c>
      <c r="F98" s="14"/>
      <c r="G98" s="14"/>
      <c r="H98" s="17" t="s">
        <v>192</v>
      </c>
      <c r="I98" s="16">
        <v>46.951999999999998</v>
      </c>
      <c r="J98" s="16">
        <v>3584.94</v>
      </c>
      <c r="K98" s="15"/>
      <c r="L98" s="16">
        <v>168320.1</v>
      </c>
      <c r="N98">
        <v>880</v>
      </c>
      <c r="O98">
        <v>3150</v>
      </c>
      <c r="Q98">
        <f>(N98+O98)*1.05</f>
        <v>4231.5</v>
      </c>
      <c r="S98">
        <f>(J98-Q98)/J98</f>
        <v>-0.180354482920216</v>
      </c>
    </row>
    <row r="99" spans="1:19" ht="12" customHeight="1">
      <c r="A99" s="17"/>
      <c r="B99" s="14"/>
      <c r="C99" s="14"/>
      <c r="D99" s="14"/>
      <c r="E99" s="14"/>
      <c r="F99" s="14"/>
      <c r="G99" s="14"/>
      <c r="H99" s="17"/>
      <c r="I99" s="18"/>
      <c r="J99" s="15"/>
      <c r="K99" s="15"/>
      <c r="L99" s="15"/>
    </row>
    <row r="100" spans="1:19" ht="409" customHeight="1">
      <c r="A100" s="17">
        <v>85</v>
      </c>
      <c r="B100" s="14">
        <v>10506001003</v>
      </c>
      <c r="C100" s="14"/>
      <c r="D100" s="14" t="s">
        <v>190</v>
      </c>
      <c r="E100" s="14" t="s">
        <v>194</v>
      </c>
      <c r="F100" s="14"/>
      <c r="G100" s="14"/>
      <c r="H100" s="17" t="s">
        <v>192</v>
      </c>
      <c r="I100" s="16">
        <v>8.6370000000000005</v>
      </c>
      <c r="J100" s="16">
        <v>3549.18</v>
      </c>
      <c r="K100" s="15"/>
      <c r="L100" s="16">
        <v>30654.27</v>
      </c>
    </row>
    <row r="101" spans="1:19" ht="12" customHeight="1">
      <c r="A101" s="17"/>
      <c r="B101" s="14"/>
      <c r="C101" s="14"/>
      <c r="D101" s="14"/>
      <c r="E101" s="14"/>
      <c r="F101" s="14"/>
      <c r="G101" s="14"/>
      <c r="H101" s="17"/>
      <c r="I101" s="18"/>
      <c r="J101" s="15"/>
      <c r="K101" s="15"/>
      <c r="L101" s="15"/>
    </row>
    <row r="102" spans="1:19" ht="409" customHeight="1">
      <c r="A102" s="17">
        <v>86</v>
      </c>
      <c r="B102" s="14">
        <v>10506001004</v>
      </c>
      <c r="C102" s="14"/>
      <c r="D102" s="14" t="s">
        <v>190</v>
      </c>
      <c r="E102" s="14" t="s">
        <v>195</v>
      </c>
      <c r="F102" s="14"/>
      <c r="G102" s="14"/>
      <c r="H102" s="17" t="s">
        <v>192</v>
      </c>
      <c r="I102" s="16">
        <v>16.437000000000001</v>
      </c>
      <c r="J102" s="16">
        <v>3500.24</v>
      </c>
      <c r="K102" s="15"/>
      <c r="L102" s="16">
        <v>57533.440000000002</v>
      </c>
    </row>
    <row r="103" spans="1:19" ht="12" customHeight="1">
      <c r="A103" s="17"/>
      <c r="B103" s="14"/>
      <c r="C103" s="14"/>
      <c r="D103" s="14"/>
      <c r="E103" s="14"/>
      <c r="F103" s="14"/>
      <c r="G103" s="14"/>
      <c r="H103" s="17"/>
      <c r="I103" s="18"/>
      <c r="J103" s="15"/>
      <c r="K103" s="15"/>
      <c r="L103" s="15"/>
    </row>
    <row r="104" spans="1:19" ht="409" customHeight="1">
      <c r="A104" s="17">
        <v>87</v>
      </c>
      <c r="B104" s="14">
        <v>10506001005</v>
      </c>
      <c r="C104" s="14"/>
      <c r="D104" s="14" t="s">
        <v>190</v>
      </c>
      <c r="E104" s="14" t="s">
        <v>196</v>
      </c>
      <c r="F104" s="14"/>
      <c r="G104" s="14"/>
      <c r="H104" s="17" t="s">
        <v>192</v>
      </c>
      <c r="I104" s="16">
        <v>10.06</v>
      </c>
      <c r="J104" s="16">
        <v>3443.76</v>
      </c>
      <c r="K104" s="15"/>
      <c r="L104" s="16">
        <v>34644.230000000003</v>
      </c>
    </row>
    <row r="105" spans="1:19" ht="12" customHeight="1">
      <c r="A105" s="17"/>
      <c r="B105" s="14"/>
      <c r="C105" s="14"/>
      <c r="D105" s="14"/>
      <c r="E105" s="14"/>
      <c r="F105" s="14"/>
      <c r="G105" s="14"/>
      <c r="H105" s="17"/>
      <c r="I105" s="18"/>
      <c r="J105" s="15"/>
      <c r="K105" s="15"/>
      <c r="L105" s="15"/>
    </row>
    <row r="106" spans="1:19" ht="409" customHeight="1">
      <c r="A106" s="17">
        <v>88</v>
      </c>
      <c r="B106" s="14">
        <v>10506001006</v>
      </c>
      <c r="C106" s="14"/>
      <c r="D106" s="14" t="s">
        <v>190</v>
      </c>
      <c r="E106" s="14" t="s">
        <v>197</v>
      </c>
      <c r="F106" s="14"/>
      <c r="G106" s="14"/>
      <c r="H106" s="17" t="s">
        <v>192</v>
      </c>
      <c r="I106" s="16">
        <v>10.193</v>
      </c>
      <c r="J106" s="16">
        <v>3510.59</v>
      </c>
      <c r="K106" s="15"/>
      <c r="L106" s="16">
        <v>35783.440000000002</v>
      </c>
    </row>
    <row r="107" spans="1:19" ht="12" customHeight="1">
      <c r="A107" s="17"/>
      <c r="B107" s="14"/>
      <c r="C107" s="14"/>
      <c r="D107" s="14"/>
      <c r="E107" s="14"/>
      <c r="F107" s="14"/>
      <c r="G107" s="14"/>
      <c r="H107" s="17"/>
      <c r="I107" s="18"/>
      <c r="J107" s="15"/>
      <c r="K107" s="15"/>
      <c r="L107" s="15"/>
    </row>
    <row r="108" spans="1:19" ht="409" customHeight="1">
      <c r="A108" s="17">
        <v>89</v>
      </c>
      <c r="B108" s="14">
        <v>10506001007</v>
      </c>
      <c r="C108" s="14"/>
      <c r="D108" s="14" t="s">
        <v>190</v>
      </c>
      <c r="E108" s="14" t="s">
        <v>198</v>
      </c>
      <c r="F108" s="14"/>
      <c r="G108" s="14"/>
      <c r="H108" s="17" t="s">
        <v>192</v>
      </c>
      <c r="I108" s="16">
        <v>34.546999999999997</v>
      </c>
      <c r="J108" s="16">
        <v>3510.59</v>
      </c>
      <c r="K108" s="15"/>
      <c r="L108" s="16">
        <v>121280.35</v>
      </c>
    </row>
    <row r="109" spans="1:19" ht="12" customHeight="1">
      <c r="A109" s="17"/>
      <c r="B109" s="14"/>
      <c r="C109" s="14"/>
      <c r="D109" s="14"/>
      <c r="E109" s="14"/>
      <c r="F109" s="14"/>
      <c r="G109" s="14"/>
      <c r="H109" s="17"/>
      <c r="I109" s="18"/>
      <c r="J109" s="15"/>
      <c r="K109" s="15"/>
      <c r="L109" s="15"/>
    </row>
    <row r="110" spans="1:19" ht="409" customHeight="1">
      <c r="A110" s="17">
        <v>90</v>
      </c>
      <c r="B110" s="14">
        <v>10506001008</v>
      </c>
      <c r="C110" s="14"/>
      <c r="D110" s="14" t="s">
        <v>190</v>
      </c>
      <c r="E110" s="14" t="s">
        <v>199</v>
      </c>
      <c r="F110" s="14"/>
      <c r="G110" s="14"/>
      <c r="H110" s="17" t="s">
        <v>192</v>
      </c>
      <c r="I110" s="16">
        <v>171.00299999999999</v>
      </c>
      <c r="J110" s="16">
        <v>3527.53</v>
      </c>
      <c r="K110" s="15"/>
      <c r="L110" s="16">
        <v>603218.21</v>
      </c>
    </row>
    <row r="111" spans="1:19" ht="12" customHeight="1">
      <c r="A111" s="17"/>
      <c r="B111" s="14"/>
      <c r="C111" s="14"/>
      <c r="D111" s="14"/>
      <c r="E111" s="14"/>
      <c r="F111" s="14"/>
      <c r="G111" s="14"/>
      <c r="H111" s="17"/>
      <c r="I111" s="18"/>
      <c r="J111" s="15"/>
      <c r="K111" s="15"/>
      <c r="L111" s="15"/>
    </row>
    <row r="112" spans="1:19" ht="409" customHeight="1">
      <c r="A112" s="17">
        <v>91</v>
      </c>
      <c r="B112" s="14">
        <v>10506001009</v>
      </c>
      <c r="C112" s="14"/>
      <c r="D112" s="14" t="s">
        <v>190</v>
      </c>
      <c r="E112" s="14" t="s">
        <v>200</v>
      </c>
      <c r="F112" s="14"/>
      <c r="G112" s="14"/>
      <c r="H112" s="17" t="s">
        <v>192</v>
      </c>
      <c r="I112" s="16">
        <v>91.171000000000006</v>
      </c>
      <c r="J112" s="16">
        <v>3523.26</v>
      </c>
      <c r="K112" s="15"/>
      <c r="L112" s="16">
        <v>321219.14</v>
      </c>
    </row>
    <row r="113" spans="1:12" ht="12" customHeight="1">
      <c r="A113" s="17"/>
      <c r="B113" s="14"/>
      <c r="C113" s="14"/>
      <c r="D113" s="14"/>
      <c r="E113" s="14"/>
      <c r="F113" s="14"/>
      <c r="G113" s="14"/>
      <c r="H113" s="17"/>
      <c r="I113" s="18"/>
      <c r="J113" s="15"/>
      <c r="K113" s="15"/>
      <c r="L113" s="15"/>
    </row>
    <row r="114" spans="1:12" ht="405" customHeight="1">
      <c r="A114" s="3">
        <v>92</v>
      </c>
      <c r="B114" s="14">
        <v>10506001010</v>
      </c>
      <c r="C114" s="14"/>
      <c r="D114" s="4" t="s">
        <v>201</v>
      </c>
      <c r="E114" s="14" t="s">
        <v>202</v>
      </c>
      <c r="F114" s="14"/>
      <c r="G114" s="14"/>
      <c r="H114" s="3" t="s">
        <v>192</v>
      </c>
      <c r="I114" s="11">
        <v>5.9039999999999999</v>
      </c>
      <c r="J114" s="16">
        <v>3551.06</v>
      </c>
      <c r="K114" s="15"/>
      <c r="L114" s="11">
        <v>20965.46</v>
      </c>
    </row>
    <row r="115" spans="1:12" ht="405" customHeight="1">
      <c r="A115" s="3">
        <v>93</v>
      </c>
      <c r="B115" s="14">
        <v>10506001011</v>
      </c>
      <c r="C115" s="14"/>
      <c r="D115" s="4" t="s">
        <v>201</v>
      </c>
      <c r="E115" s="14" t="s">
        <v>203</v>
      </c>
      <c r="F115" s="14"/>
      <c r="G115" s="14"/>
      <c r="H115" s="3" t="s">
        <v>192</v>
      </c>
      <c r="I115" s="11">
        <v>6.3579999999999997</v>
      </c>
      <c r="J115" s="16">
        <v>3551.06</v>
      </c>
      <c r="K115" s="15"/>
      <c r="L115" s="11">
        <v>22577.64</v>
      </c>
    </row>
    <row r="116" spans="1:12" ht="405" customHeight="1">
      <c r="A116" s="3">
        <v>94</v>
      </c>
      <c r="B116" s="14">
        <v>10506001012</v>
      </c>
      <c r="C116" s="14"/>
      <c r="D116" s="4" t="s">
        <v>201</v>
      </c>
      <c r="E116" s="14" t="s">
        <v>204</v>
      </c>
      <c r="F116" s="14"/>
      <c r="G116" s="14"/>
      <c r="H116" s="3" t="s">
        <v>192</v>
      </c>
      <c r="I116" s="11">
        <v>51.152999999999999</v>
      </c>
      <c r="J116" s="16">
        <v>3568</v>
      </c>
      <c r="K116" s="15"/>
      <c r="L116" s="11">
        <v>182513.9</v>
      </c>
    </row>
    <row r="117" spans="1:12" ht="405" customHeight="1">
      <c r="A117" s="3">
        <v>95</v>
      </c>
      <c r="B117" s="14">
        <v>10506001013</v>
      </c>
      <c r="C117" s="14"/>
      <c r="D117" s="4" t="s">
        <v>201</v>
      </c>
      <c r="E117" s="14" t="s">
        <v>205</v>
      </c>
      <c r="F117" s="14"/>
      <c r="G117" s="14"/>
      <c r="H117" s="3" t="s">
        <v>192</v>
      </c>
      <c r="I117" s="11">
        <v>91.94</v>
      </c>
      <c r="J117" s="16">
        <v>3563.73</v>
      </c>
      <c r="K117" s="15"/>
      <c r="L117" s="11">
        <v>327649.34000000003</v>
      </c>
    </row>
    <row r="118" spans="1:12" ht="405" customHeight="1">
      <c r="A118" s="3">
        <v>96</v>
      </c>
      <c r="B118" s="14">
        <v>10506001014</v>
      </c>
      <c r="C118" s="14"/>
      <c r="D118" s="4" t="s">
        <v>201</v>
      </c>
      <c r="E118" s="14" t="s">
        <v>206</v>
      </c>
      <c r="F118" s="14"/>
      <c r="G118" s="14"/>
      <c r="H118" s="3" t="s">
        <v>192</v>
      </c>
      <c r="I118" s="11">
        <v>62.31</v>
      </c>
      <c r="J118" s="16">
        <v>3690.79</v>
      </c>
      <c r="K118" s="15"/>
      <c r="L118" s="11">
        <v>229973.12</v>
      </c>
    </row>
    <row r="119" spans="1:12" ht="409" customHeight="1">
      <c r="A119" s="17">
        <v>97</v>
      </c>
      <c r="B119" s="14">
        <v>10506001015</v>
      </c>
      <c r="C119" s="14"/>
      <c r="D119" s="14" t="s">
        <v>207</v>
      </c>
      <c r="E119" s="14" t="s">
        <v>208</v>
      </c>
      <c r="F119" s="14"/>
      <c r="G119" s="14"/>
      <c r="H119" s="17" t="s">
        <v>192</v>
      </c>
      <c r="I119" s="16">
        <v>5.6950000000000003</v>
      </c>
      <c r="J119" s="16">
        <v>4820.62</v>
      </c>
      <c r="K119" s="15"/>
      <c r="L119" s="16">
        <v>27453.43</v>
      </c>
    </row>
    <row r="120" spans="1:12" ht="12" customHeight="1">
      <c r="A120" s="17"/>
      <c r="B120" s="14"/>
      <c r="C120" s="14"/>
      <c r="D120" s="14"/>
      <c r="E120" s="14"/>
      <c r="F120" s="14"/>
      <c r="G120" s="14"/>
      <c r="H120" s="17"/>
      <c r="I120" s="18"/>
      <c r="J120" s="15"/>
      <c r="K120" s="15"/>
      <c r="L120" s="15"/>
    </row>
    <row r="121" spans="1:12" ht="409" customHeight="1">
      <c r="A121" s="17">
        <v>98</v>
      </c>
      <c r="B121" s="14">
        <v>10506001016</v>
      </c>
      <c r="C121" s="14"/>
      <c r="D121" s="14" t="s">
        <v>207</v>
      </c>
      <c r="E121" s="14" t="s">
        <v>191</v>
      </c>
      <c r="F121" s="14"/>
      <c r="G121" s="14"/>
      <c r="H121" s="17" t="s">
        <v>192</v>
      </c>
      <c r="I121" s="16">
        <v>65.649000000000001</v>
      </c>
      <c r="J121" s="16">
        <v>5164.3900000000003</v>
      </c>
      <c r="K121" s="15"/>
      <c r="L121" s="16">
        <v>339037.04</v>
      </c>
    </row>
    <row r="122" spans="1:12" ht="12" customHeight="1">
      <c r="A122" s="17"/>
      <c r="B122" s="14"/>
      <c r="C122" s="14"/>
      <c r="D122" s="14"/>
      <c r="E122" s="14"/>
      <c r="F122" s="14"/>
      <c r="G122" s="14"/>
      <c r="H122" s="17"/>
      <c r="I122" s="18"/>
      <c r="J122" s="15"/>
      <c r="K122" s="15"/>
      <c r="L122" s="15"/>
    </row>
    <row r="123" spans="1:12" ht="409" customHeight="1">
      <c r="A123" s="17">
        <v>99</v>
      </c>
      <c r="B123" s="14">
        <v>10506001017</v>
      </c>
      <c r="C123" s="14"/>
      <c r="D123" s="14" t="s">
        <v>207</v>
      </c>
      <c r="E123" s="14" t="s">
        <v>193</v>
      </c>
      <c r="F123" s="14"/>
      <c r="G123" s="14"/>
      <c r="H123" s="17" t="s">
        <v>192</v>
      </c>
      <c r="I123" s="16">
        <v>83.564999999999998</v>
      </c>
      <c r="J123" s="16">
        <v>4014.49</v>
      </c>
      <c r="K123" s="15"/>
      <c r="L123" s="16">
        <v>335470.86</v>
      </c>
    </row>
    <row r="124" spans="1:12" ht="12" customHeight="1">
      <c r="A124" s="17"/>
      <c r="B124" s="14"/>
      <c r="C124" s="14"/>
      <c r="D124" s="14"/>
      <c r="E124" s="14"/>
      <c r="F124" s="14"/>
      <c r="G124" s="14"/>
      <c r="H124" s="17"/>
      <c r="I124" s="18"/>
      <c r="J124" s="15"/>
      <c r="K124" s="15"/>
      <c r="L124" s="15"/>
    </row>
    <row r="125" spans="1:12" ht="409" customHeight="1">
      <c r="A125" s="17">
        <v>100</v>
      </c>
      <c r="B125" s="14">
        <v>10506001018</v>
      </c>
      <c r="C125" s="14"/>
      <c r="D125" s="14" t="s">
        <v>207</v>
      </c>
      <c r="E125" s="14" t="s">
        <v>209</v>
      </c>
      <c r="F125" s="14"/>
      <c r="G125" s="14"/>
      <c r="H125" s="17" t="s">
        <v>192</v>
      </c>
      <c r="I125" s="16">
        <v>31.888999999999999</v>
      </c>
      <c r="J125" s="16">
        <v>3927.9</v>
      </c>
      <c r="K125" s="15"/>
      <c r="L125" s="16">
        <v>125256.8</v>
      </c>
    </row>
    <row r="126" spans="1:12" ht="12" customHeight="1">
      <c r="A126" s="17"/>
      <c r="B126" s="14"/>
      <c r="C126" s="14"/>
      <c r="D126" s="14"/>
      <c r="E126" s="14"/>
      <c r="F126" s="14"/>
      <c r="G126" s="14"/>
      <c r="H126" s="17"/>
      <c r="I126" s="18"/>
      <c r="J126" s="15"/>
      <c r="K126" s="15"/>
      <c r="L126" s="15"/>
    </row>
    <row r="127" spans="1:12" ht="95" customHeight="1">
      <c r="A127" s="3">
        <v>101</v>
      </c>
      <c r="B127" s="14">
        <v>10506001019</v>
      </c>
      <c r="C127" s="14"/>
      <c r="D127" s="4" t="s">
        <v>210</v>
      </c>
      <c r="E127" s="14" t="s">
        <v>211</v>
      </c>
      <c r="F127" s="14"/>
      <c r="G127" s="14"/>
      <c r="H127" s="3" t="s">
        <v>212</v>
      </c>
      <c r="I127" s="11">
        <v>236</v>
      </c>
      <c r="J127" s="16">
        <v>10.09</v>
      </c>
      <c r="K127" s="15"/>
      <c r="L127" s="11">
        <v>2381.2399999999998</v>
      </c>
    </row>
    <row r="128" spans="1:12" ht="95" customHeight="1">
      <c r="A128" s="3">
        <v>102</v>
      </c>
      <c r="B128" s="14">
        <v>10506001020</v>
      </c>
      <c r="C128" s="14"/>
      <c r="D128" s="4" t="s">
        <v>210</v>
      </c>
      <c r="E128" s="14" t="s">
        <v>213</v>
      </c>
      <c r="F128" s="14"/>
      <c r="G128" s="14"/>
      <c r="H128" s="3" t="s">
        <v>212</v>
      </c>
      <c r="I128" s="11">
        <v>211</v>
      </c>
      <c r="J128" s="16">
        <v>12.11</v>
      </c>
      <c r="K128" s="15"/>
      <c r="L128" s="11">
        <v>2555.21</v>
      </c>
    </row>
    <row r="129" spans="1:12" ht="95" customHeight="1">
      <c r="A129" s="3">
        <v>103</v>
      </c>
      <c r="B129" s="14">
        <v>10506001021</v>
      </c>
      <c r="C129" s="14"/>
      <c r="D129" s="4" t="s">
        <v>210</v>
      </c>
      <c r="E129" s="14" t="s">
        <v>214</v>
      </c>
      <c r="F129" s="14"/>
      <c r="G129" s="14"/>
      <c r="H129" s="3" t="s">
        <v>212</v>
      </c>
      <c r="I129" s="11">
        <v>177</v>
      </c>
      <c r="J129" s="16">
        <v>12.45</v>
      </c>
      <c r="K129" s="15"/>
      <c r="L129" s="11">
        <v>2203.65</v>
      </c>
    </row>
    <row r="130" spans="1:12" ht="95" customHeight="1">
      <c r="A130" s="3">
        <v>104</v>
      </c>
      <c r="B130" s="14">
        <v>10506001022</v>
      </c>
      <c r="C130" s="14"/>
      <c r="D130" s="4" t="s">
        <v>210</v>
      </c>
      <c r="E130" s="14" t="s">
        <v>215</v>
      </c>
      <c r="F130" s="14"/>
      <c r="G130" s="14"/>
      <c r="H130" s="3" t="s">
        <v>212</v>
      </c>
      <c r="I130" s="11">
        <v>2083</v>
      </c>
      <c r="J130" s="16">
        <v>13.02</v>
      </c>
      <c r="K130" s="15"/>
      <c r="L130" s="11">
        <v>27120.66</v>
      </c>
    </row>
    <row r="131" spans="1:12" ht="95" customHeight="1">
      <c r="A131" s="3">
        <v>105</v>
      </c>
      <c r="B131" s="14">
        <v>10506001023</v>
      </c>
      <c r="C131" s="14"/>
      <c r="D131" s="4" t="s">
        <v>210</v>
      </c>
      <c r="E131" s="14" t="s">
        <v>216</v>
      </c>
      <c r="F131" s="14"/>
      <c r="G131" s="14"/>
      <c r="H131" s="3" t="s">
        <v>212</v>
      </c>
      <c r="I131" s="11">
        <v>313</v>
      </c>
      <c r="J131" s="16">
        <v>15.4</v>
      </c>
      <c r="K131" s="15"/>
      <c r="L131" s="11">
        <v>4820.2</v>
      </c>
    </row>
    <row r="132" spans="1:12" ht="95" customHeight="1">
      <c r="A132" s="3">
        <v>106</v>
      </c>
      <c r="B132" s="14">
        <v>10506001024</v>
      </c>
      <c r="C132" s="14"/>
      <c r="D132" s="4" t="s">
        <v>210</v>
      </c>
      <c r="E132" s="14" t="s">
        <v>217</v>
      </c>
      <c r="F132" s="14"/>
      <c r="G132" s="14"/>
      <c r="H132" s="3" t="s">
        <v>212</v>
      </c>
      <c r="I132" s="11">
        <v>162</v>
      </c>
      <c r="J132" s="16">
        <v>16.079999999999998</v>
      </c>
      <c r="K132" s="15"/>
      <c r="L132" s="11">
        <v>2604.96</v>
      </c>
    </row>
    <row r="133" spans="1:12" ht="95" customHeight="1">
      <c r="A133" s="3">
        <v>107</v>
      </c>
      <c r="B133" s="14">
        <v>10506001025</v>
      </c>
      <c r="C133" s="14"/>
      <c r="D133" s="4" t="s">
        <v>210</v>
      </c>
      <c r="E133" s="14" t="s">
        <v>218</v>
      </c>
      <c r="F133" s="14"/>
      <c r="G133" s="14"/>
      <c r="H133" s="3" t="s">
        <v>212</v>
      </c>
      <c r="I133" s="11">
        <v>109</v>
      </c>
      <c r="J133" s="16">
        <v>20.52</v>
      </c>
      <c r="K133" s="15"/>
      <c r="L133" s="11">
        <v>2236.6799999999998</v>
      </c>
    </row>
    <row r="134" spans="1:12" ht="23" customHeight="1">
      <c r="A134" s="3" t="s">
        <v>53</v>
      </c>
      <c r="B134" s="14" t="s">
        <v>53</v>
      </c>
      <c r="C134" s="14"/>
      <c r="D134" s="4" t="s">
        <v>111</v>
      </c>
      <c r="E134" s="14" t="s">
        <v>53</v>
      </c>
      <c r="F134" s="14"/>
      <c r="G134" s="14"/>
      <c r="H134" s="3" t="s">
        <v>53</v>
      </c>
      <c r="I134" s="10" t="s">
        <v>53</v>
      </c>
      <c r="J134" s="15" t="s">
        <v>53</v>
      </c>
      <c r="K134" s="15"/>
      <c r="L134" s="11">
        <v>19980489.850000001</v>
      </c>
    </row>
    <row r="135" spans="1:12" ht="183" customHeight="1">
      <c r="A135" s="3">
        <v>108</v>
      </c>
      <c r="B135" s="14">
        <v>10506001026</v>
      </c>
      <c r="C135" s="14"/>
      <c r="D135" s="4" t="s">
        <v>190</v>
      </c>
      <c r="E135" s="14" t="s">
        <v>219</v>
      </c>
      <c r="F135" s="14"/>
      <c r="G135" s="14"/>
      <c r="H135" s="3" t="s">
        <v>192</v>
      </c>
      <c r="I135" s="11">
        <v>466.27800000000002</v>
      </c>
      <c r="J135" s="16">
        <v>3946.79</v>
      </c>
      <c r="K135" s="15"/>
      <c r="L135" s="11">
        <v>1840301.35</v>
      </c>
    </row>
    <row r="136" spans="1:12" ht="183" customHeight="1">
      <c r="A136" s="3">
        <v>109</v>
      </c>
      <c r="B136" s="14">
        <v>10506001027</v>
      </c>
      <c r="C136" s="14"/>
      <c r="D136" s="4" t="s">
        <v>190</v>
      </c>
      <c r="E136" s="14" t="s">
        <v>220</v>
      </c>
      <c r="F136" s="14"/>
      <c r="G136" s="14"/>
      <c r="H136" s="3" t="s">
        <v>192</v>
      </c>
      <c r="I136" s="11">
        <v>264.363</v>
      </c>
      <c r="J136" s="16">
        <v>3592.35</v>
      </c>
      <c r="K136" s="15"/>
      <c r="L136" s="11">
        <v>949684.42</v>
      </c>
    </row>
    <row r="137" spans="1:12" ht="183" customHeight="1">
      <c r="A137" s="3">
        <v>110</v>
      </c>
      <c r="B137" s="14">
        <v>10506001028</v>
      </c>
      <c r="C137" s="14"/>
      <c r="D137" s="4" t="s">
        <v>190</v>
      </c>
      <c r="E137" s="14" t="s">
        <v>221</v>
      </c>
      <c r="F137" s="14"/>
      <c r="G137" s="14"/>
      <c r="H137" s="3" t="s">
        <v>192</v>
      </c>
      <c r="I137" s="11">
        <v>99.478999999999999</v>
      </c>
      <c r="J137" s="16">
        <v>3556.59</v>
      </c>
      <c r="K137" s="15"/>
      <c r="L137" s="11">
        <v>353806.02</v>
      </c>
    </row>
    <row r="138" spans="1:12" ht="183" customHeight="1">
      <c r="A138" s="3">
        <v>111</v>
      </c>
      <c r="B138" s="14">
        <v>10506001029</v>
      </c>
      <c r="C138" s="14"/>
      <c r="D138" s="4" t="s">
        <v>190</v>
      </c>
      <c r="E138" s="14" t="s">
        <v>222</v>
      </c>
      <c r="F138" s="14"/>
      <c r="G138" s="14"/>
      <c r="H138" s="3" t="s">
        <v>192</v>
      </c>
      <c r="I138" s="11">
        <v>11.676</v>
      </c>
      <c r="J138" s="16">
        <v>3507.66</v>
      </c>
      <c r="K138" s="15"/>
      <c r="L138" s="11">
        <v>40955.440000000002</v>
      </c>
    </row>
    <row r="139" spans="1:12" ht="183" customHeight="1">
      <c r="A139" s="3">
        <v>112</v>
      </c>
      <c r="B139" s="14">
        <v>10506001030</v>
      </c>
      <c r="C139" s="14"/>
      <c r="D139" s="4" t="s">
        <v>190</v>
      </c>
      <c r="E139" s="14" t="s">
        <v>223</v>
      </c>
      <c r="F139" s="14"/>
      <c r="G139" s="14"/>
      <c r="H139" s="3" t="s">
        <v>192</v>
      </c>
      <c r="I139" s="11">
        <v>6.5579999999999998</v>
      </c>
      <c r="J139" s="16">
        <v>3563.24</v>
      </c>
      <c r="K139" s="15"/>
      <c r="L139" s="11">
        <v>23367.73</v>
      </c>
    </row>
    <row r="140" spans="1:12" ht="183" customHeight="1">
      <c r="A140" s="3">
        <v>113</v>
      </c>
      <c r="B140" s="14">
        <v>10506001031</v>
      </c>
      <c r="C140" s="14"/>
      <c r="D140" s="4" t="s">
        <v>190</v>
      </c>
      <c r="E140" s="14" t="s">
        <v>224</v>
      </c>
      <c r="F140" s="14"/>
      <c r="G140" s="14"/>
      <c r="H140" s="3" t="s">
        <v>192</v>
      </c>
      <c r="I140" s="11">
        <v>4.4850000000000003</v>
      </c>
      <c r="J140" s="16">
        <v>3630.08</v>
      </c>
      <c r="K140" s="15"/>
      <c r="L140" s="11">
        <v>16280.91</v>
      </c>
    </row>
    <row r="141" spans="1:12" ht="183" customHeight="1">
      <c r="A141" s="3">
        <v>114</v>
      </c>
      <c r="B141" s="14">
        <v>10506001032</v>
      </c>
      <c r="C141" s="14"/>
      <c r="D141" s="4" t="s">
        <v>190</v>
      </c>
      <c r="E141" s="14" t="s">
        <v>225</v>
      </c>
      <c r="F141" s="14"/>
      <c r="G141" s="14"/>
      <c r="H141" s="3" t="s">
        <v>192</v>
      </c>
      <c r="I141" s="11">
        <v>3.9220000000000002</v>
      </c>
      <c r="J141" s="16">
        <v>3630.07</v>
      </c>
      <c r="K141" s="15"/>
      <c r="L141" s="11">
        <v>14237.13</v>
      </c>
    </row>
    <row r="142" spans="1:12" ht="183" customHeight="1">
      <c r="A142" s="3">
        <v>115</v>
      </c>
      <c r="B142" s="14">
        <v>10506001033</v>
      </c>
      <c r="C142" s="14"/>
      <c r="D142" s="4" t="s">
        <v>190</v>
      </c>
      <c r="E142" s="14" t="s">
        <v>226</v>
      </c>
      <c r="F142" s="14"/>
      <c r="G142" s="14"/>
      <c r="H142" s="3" t="s">
        <v>192</v>
      </c>
      <c r="I142" s="11">
        <v>4.9969999999999999</v>
      </c>
      <c r="J142" s="16">
        <v>3534.94</v>
      </c>
      <c r="K142" s="15"/>
      <c r="L142" s="11">
        <v>17664.099999999999</v>
      </c>
    </row>
    <row r="143" spans="1:12" ht="139" customHeight="1">
      <c r="A143" s="3">
        <v>116</v>
      </c>
      <c r="B143" s="14">
        <v>10506001034</v>
      </c>
      <c r="C143" s="14"/>
      <c r="D143" s="4" t="s">
        <v>201</v>
      </c>
      <c r="E143" s="14" t="s">
        <v>227</v>
      </c>
      <c r="F143" s="14"/>
      <c r="G143" s="14"/>
      <c r="H143" s="3" t="s">
        <v>192</v>
      </c>
      <c r="I143" s="11">
        <v>14.962999999999999</v>
      </c>
      <c r="J143" s="16">
        <v>3687.54</v>
      </c>
      <c r="K143" s="15"/>
      <c r="L143" s="11">
        <v>55176.66</v>
      </c>
    </row>
    <row r="144" spans="1:12" ht="139" customHeight="1">
      <c r="A144" s="3">
        <v>117</v>
      </c>
      <c r="B144" s="14">
        <v>10506001035</v>
      </c>
      <c r="C144" s="14"/>
      <c r="D144" s="4" t="s">
        <v>201</v>
      </c>
      <c r="E144" s="14" t="s">
        <v>228</v>
      </c>
      <c r="F144" s="14"/>
      <c r="G144" s="14"/>
      <c r="H144" s="3" t="s">
        <v>192</v>
      </c>
      <c r="I144" s="11">
        <v>14.872999999999999</v>
      </c>
      <c r="J144" s="16">
        <v>3632.82</v>
      </c>
      <c r="K144" s="15"/>
      <c r="L144" s="11">
        <v>54030.93</v>
      </c>
    </row>
    <row r="145" spans="1:12" ht="139" customHeight="1">
      <c r="A145" s="3">
        <v>118</v>
      </c>
      <c r="B145" s="14">
        <v>10506001036</v>
      </c>
      <c r="C145" s="14"/>
      <c r="D145" s="4" t="s">
        <v>201</v>
      </c>
      <c r="E145" s="14" t="s">
        <v>229</v>
      </c>
      <c r="F145" s="14"/>
      <c r="G145" s="14"/>
      <c r="H145" s="3" t="s">
        <v>192</v>
      </c>
      <c r="I145" s="11">
        <v>21.646999999999998</v>
      </c>
      <c r="J145" s="16">
        <v>3589.65</v>
      </c>
      <c r="K145" s="15"/>
      <c r="L145" s="11">
        <v>77705.149999999994</v>
      </c>
    </row>
    <row r="146" spans="1:12" ht="139" customHeight="1">
      <c r="A146" s="3">
        <v>119</v>
      </c>
      <c r="B146" s="14">
        <v>10506001037</v>
      </c>
      <c r="C146" s="14"/>
      <c r="D146" s="4" t="s">
        <v>201</v>
      </c>
      <c r="E146" s="14" t="s">
        <v>230</v>
      </c>
      <c r="F146" s="14"/>
      <c r="G146" s="14"/>
      <c r="H146" s="3" t="s">
        <v>192</v>
      </c>
      <c r="I146" s="11">
        <v>15.212999999999999</v>
      </c>
      <c r="J146" s="16">
        <v>3540.7</v>
      </c>
      <c r="K146" s="15"/>
      <c r="L146" s="11">
        <v>53864.67</v>
      </c>
    </row>
    <row r="147" spans="1:12" ht="139" customHeight="1">
      <c r="A147" s="3">
        <v>120</v>
      </c>
      <c r="B147" s="14">
        <v>10506001038</v>
      </c>
      <c r="C147" s="14"/>
      <c r="D147" s="4" t="s">
        <v>201</v>
      </c>
      <c r="E147" s="14" t="s">
        <v>231</v>
      </c>
      <c r="F147" s="14"/>
      <c r="G147" s="14"/>
      <c r="H147" s="3" t="s">
        <v>192</v>
      </c>
      <c r="I147" s="11">
        <v>12.321999999999999</v>
      </c>
      <c r="J147" s="16">
        <v>3603.72</v>
      </c>
      <c r="K147" s="15"/>
      <c r="L147" s="11">
        <v>44405.04</v>
      </c>
    </row>
    <row r="148" spans="1:12" ht="139" customHeight="1">
      <c r="A148" s="3">
        <v>121</v>
      </c>
      <c r="B148" s="14">
        <v>10506001039</v>
      </c>
      <c r="C148" s="14"/>
      <c r="D148" s="4" t="s">
        <v>201</v>
      </c>
      <c r="E148" s="14" t="s">
        <v>232</v>
      </c>
      <c r="F148" s="14"/>
      <c r="G148" s="14"/>
      <c r="H148" s="3" t="s">
        <v>192</v>
      </c>
      <c r="I148" s="11">
        <v>20.215</v>
      </c>
      <c r="J148" s="16">
        <v>3670.53</v>
      </c>
      <c r="K148" s="15"/>
      <c r="L148" s="11">
        <v>74199.759999999995</v>
      </c>
    </row>
    <row r="149" spans="1:12" ht="139" customHeight="1">
      <c r="A149" s="3">
        <v>122</v>
      </c>
      <c r="B149" s="14">
        <v>10506001040</v>
      </c>
      <c r="C149" s="14"/>
      <c r="D149" s="4" t="s">
        <v>201</v>
      </c>
      <c r="E149" s="14" t="s">
        <v>233</v>
      </c>
      <c r="F149" s="14"/>
      <c r="G149" s="14"/>
      <c r="H149" s="3" t="s">
        <v>192</v>
      </c>
      <c r="I149" s="11">
        <v>55.506</v>
      </c>
      <c r="J149" s="16">
        <v>3670.53</v>
      </c>
      <c r="K149" s="15"/>
      <c r="L149" s="11">
        <v>203736.44</v>
      </c>
    </row>
    <row r="150" spans="1:12" ht="139" customHeight="1">
      <c r="A150" s="3">
        <v>123</v>
      </c>
      <c r="B150" s="14">
        <v>10506001041</v>
      </c>
      <c r="C150" s="14"/>
      <c r="D150" s="4" t="s">
        <v>201</v>
      </c>
      <c r="E150" s="14" t="s">
        <v>234</v>
      </c>
      <c r="F150" s="14"/>
      <c r="G150" s="14"/>
      <c r="H150" s="3" t="s">
        <v>192</v>
      </c>
      <c r="I150" s="11">
        <v>348.15100000000001</v>
      </c>
      <c r="J150" s="16">
        <v>3575.41</v>
      </c>
      <c r="K150" s="15"/>
      <c r="L150" s="11">
        <v>1244782.57</v>
      </c>
    </row>
    <row r="151" spans="1:12" ht="139" customHeight="1">
      <c r="A151" s="3">
        <v>124</v>
      </c>
      <c r="B151" s="14">
        <v>10506001042</v>
      </c>
      <c r="C151" s="14"/>
      <c r="D151" s="4" t="s">
        <v>201</v>
      </c>
      <c r="E151" s="14" t="s">
        <v>235</v>
      </c>
      <c r="F151" s="14"/>
      <c r="G151" s="14"/>
      <c r="H151" s="3" t="s">
        <v>192</v>
      </c>
      <c r="I151" s="11">
        <v>258.97000000000003</v>
      </c>
      <c r="J151" s="16">
        <v>3570.31</v>
      </c>
      <c r="K151" s="15"/>
      <c r="L151" s="11">
        <v>924603.18</v>
      </c>
    </row>
    <row r="152" spans="1:12" ht="139" customHeight="1">
      <c r="A152" s="3">
        <v>125</v>
      </c>
      <c r="B152" s="14">
        <v>10506001043</v>
      </c>
      <c r="C152" s="14"/>
      <c r="D152" s="4" t="s">
        <v>201</v>
      </c>
      <c r="E152" s="14" t="s">
        <v>236</v>
      </c>
      <c r="F152" s="14"/>
      <c r="G152" s="14"/>
      <c r="H152" s="3" t="s">
        <v>192</v>
      </c>
      <c r="I152" s="11">
        <v>234.23</v>
      </c>
      <c r="J152" s="16">
        <v>3690.79</v>
      </c>
      <c r="K152" s="15"/>
      <c r="L152" s="11">
        <v>864493.74</v>
      </c>
    </row>
    <row r="153" spans="1:12" ht="139" customHeight="1">
      <c r="A153" s="3">
        <v>126</v>
      </c>
      <c r="B153" s="14">
        <v>10506001044</v>
      </c>
      <c r="C153" s="14"/>
      <c r="D153" s="4" t="s">
        <v>201</v>
      </c>
      <c r="E153" s="14" t="s">
        <v>237</v>
      </c>
      <c r="F153" s="14"/>
      <c r="G153" s="14"/>
      <c r="H153" s="3" t="s">
        <v>192</v>
      </c>
      <c r="I153" s="11">
        <v>1.8160000000000001</v>
      </c>
      <c r="J153" s="16">
        <v>3697.37</v>
      </c>
      <c r="K153" s="15"/>
      <c r="L153" s="11">
        <v>6714.42</v>
      </c>
    </row>
    <row r="154" spans="1:12" ht="139" customHeight="1">
      <c r="A154" s="3">
        <v>127</v>
      </c>
      <c r="B154" s="14">
        <v>10506001045</v>
      </c>
      <c r="C154" s="14"/>
      <c r="D154" s="4" t="s">
        <v>201</v>
      </c>
      <c r="E154" s="14" t="s">
        <v>238</v>
      </c>
      <c r="F154" s="14"/>
      <c r="G154" s="14"/>
      <c r="H154" s="3" t="s">
        <v>192</v>
      </c>
      <c r="I154" s="11">
        <v>2.1419999999999999</v>
      </c>
      <c r="J154" s="16">
        <v>4386.38</v>
      </c>
      <c r="K154" s="15"/>
      <c r="L154" s="11">
        <v>9395.6299999999992</v>
      </c>
    </row>
    <row r="155" spans="1:12" ht="139" customHeight="1">
      <c r="A155" s="3">
        <v>128</v>
      </c>
      <c r="B155" s="14">
        <v>10506001046</v>
      </c>
      <c r="C155" s="14"/>
      <c r="D155" s="4" t="s">
        <v>201</v>
      </c>
      <c r="E155" s="14" t="s">
        <v>239</v>
      </c>
      <c r="F155" s="14"/>
      <c r="G155" s="14"/>
      <c r="H155" s="3" t="s">
        <v>192</v>
      </c>
      <c r="I155" s="11">
        <v>109.898</v>
      </c>
      <c r="J155" s="16">
        <v>4029.43</v>
      </c>
      <c r="K155" s="15"/>
      <c r="L155" s="11">
        <v>442826.3</v>
      </c>
    </row>
    <row r="156" spans="1:12" ht="139" customHeight="1">
      <c r="A156" s="3">
        <v>129</v>
      </c>
      <c r="B156" s="14">
        <v>10506001047</v>
      </c>
      <c r="C156" s="14"/>
      <c r="D156" s="4" t="s">
        <v>201</v>
      </c>
      <c r="E156" s="14" t="s">
        <v>240</v>
      </c>
      <c r="F156" s="14"/>
      <c r="G156" s="14"/>
      <c r="H156" s="3" t="s">
        <v>192</v>
      </c>
      <c r="I156" s="11">
        <v>1167.1199999999999</v>
      </c>
      <c r="J156" s="16">
        <v>3965.43</v>
      </c>
      <c r="K156" s="15"/>
      <c r="L156" s="11">
        <v>4628132.66</v>
      </c>
    </row>
    <row r="157" spans="1:12" ht="139" customHeight="1">
      <c r="A157" s="3">
        <v>130</v>
      </c>
      <c r="B157" s="14">
        <v>10506001048</v>
      </c>
      <c r="C157" s="14"/>
      <c r="D157" s="4" t="s">
        <v>201</v>
      </c>
      <c r="E157" s="14" t="s">
        <v>241</v>
      </c>
      <c r="F157" s="14"/>
      <c r="G157" s="14"/>
      <c r="H157" s="3" t="s">
        <v>192</v>
      </c>
      <c r="I157" s="11">
        <v>165.119</v>
      </c>
      <c r="J157" s="16">
        <v>3990.07</v>
      </c>
      <c r="K157" s="15"/>
      <c r="L157" s="11">
        <v>658836.37</v>
      </c>
    </row>
    <row r="158" spans="1:12" ht="154" customHeight="1">
      <c r="A158" s="3">
        <v>131</v>
      </c>
      <c r="B158" s="14">
        <v>10506001049</v>
      </c>
      <c r="C158" s="14"/>
      <c r="D158" s="4" t="s">
        <v>207</v>
      </c>
      <c r="E158" s="14" t="s">
        <v>242</v>
      </c>
      <c r="F158" s="14"/>
      <c r="G158" s="14"/>
      <c r="H158" s="3" t="s">
        <v>192</v>
      </c>
      <c r="I158" s="11">
        <v>61.042000000000002</v>
      </c>
      <c r="J158" s="16">
        <v>4841.01</v>
      </c>
      <c r="K158" s="15"/>
      <c r="L158" s="11">
        <v>295504.93</v>
      </c>
    </row>
    <row r="159" spans="1:12" ht="154" customHeight="1">
      <c r="A159" s="3">
        <v>132</v>
      </c>
      <c r="B159" s="14">
        <v>10506001050</v>
      </c>
      <c r="C159" s="14"/>
      <c r="D159" s="4" t="s">
        <v>207</v>
      </c>
      <c r="E159" s="14" t="s">
        <v>243</v>
      </c>
      <c r="F159" s="14"/>
      <c r="G159" s="14"/>
      <c r="H159" s="3" t="s">
        <v>192</v>
      </c>
      <c r="I159" s="11">
        <v>606.81200000000001</v>
      </c>
      <c r="J159" s="16">
        <v>5187.83</v>
      </c>
      <c r="K159" s="15"/>
      <c r="L159" s="11">
        <v>3148037.5</v>
      </c>
    </row>
    <row r="160" spans="1:12" ht="154" customHeight="1">
      <c r="A160" s="3">
        <v>133</v>
      </c>
      <c r="B160" s="14">
        <v>10506001051</v>
      </c>
      <c r="C160" s="14"/>
      <c r="D160" s="4" t="s">
        <v>207</v>
      </c>
      <c r="E160" s="14" t="s">
        <v>244</v>
      </c>
      <c r="F160" s="14"/>
      <c r="G160" s="14"/>
      <c r="H160" s="3" t="s">
        <v>192</v>
      </c>
      <c r="I160" s="11">
        <v>452.16899999999998</v>
      </c>
      <c r="J160" s="16">
        <v>4008.47</v>
      </c>
      <c r="K160" s="15"/>
      <c r="L160" s="11">
        <v>1812505.87</v>
      </c>
    </row>
    <row r="161" spans="1:12" ht="154" customHeight="1">
      <c r="A161" s="3">
        <v>134</v>
      </c>
      <c r="B161" s="14">
        <v>10506001052</v>
      </c>
      <c r="C161" s="14"/>
      <c r="D161" s="4" t="s">
        <v>207</v>
      </c>
      <c r="E161" s="14" t="s">
        <v>245</v>
      </c>
      <c r="F161" s="14"/>
      <c r="G161" s="14"/>
      <c r="H161" s="3" t="s">
        <v>192</v>
      </c>
      <c r="I161" s="11">
        <v>114.312</v>
      </c>
      <c r="J161" s="16">
        <v>3939.77</v>
      </c>
      <c r="K161" s="15"/>
      <c r="L161" s="11">
        <v>450362.99</v>
      </c>
    </row>
    <row r="162" spans="1:12" ht="169" customHeight="1">
      <c r="A162" s="3">
        <v>135</v>
      </c>
      <c r="B162" s="14">
        <v>10506001053</v>
      </c>
      <c r="C162" s="14"/>
      <c r="D162" s="4" t="s">
        <v>246</v>
      </c>
      <c r="E162" s="14" t="s">
        <v>247</v>
      </c>
      <c r="F162" s="14"/>
      <c r="G162" s="14"/>
      <c r="H162" s="3" t="s">
        <v>192</v>
      </c>
      <c r="I162" s="11">
        <v>108.61199999999999</v>
      </c>
      <c r="J162" s="16">
        <v>7634.87</v>
      </c>
      <c r="K162" s="15"/>
      <c r="L162" s="11">
        <v>829238.5</v>
      </c>
    </row>
    <row r="163" spans="1:12" ht="110" customHeight="1">
      <c r="A163" s="3">
        <v>136</v>
      </c>
      <c r="B163" s="14">
        <v>10506001054</v>
      </c>
      <c r="C163" s="14"/>
      <c r="D163" s="4" t="s">
        <v>248</v>
      </c>
      <c r="E163" s="14" t="s">
        <v>249</v>
      </c>
      <c r="F163" s="14"/>
      <c r="G163" s="14"/>
      <c r="H163" s="3" t="s">
        <v>250</v>
      </c>
      <c r="I163" s="11">
        <v>522</v>
      </c>
      <c r="J163" s="16">
        <v>262.23</v>
      </c>
      <c r="K163" s="15"/>
      <c r="L163" s="11">
        <v>136884.06</v>
      </c>
    </row>
    <row r="164" spans="1:12" ht="125" customHeight="1">
      <c r="A164" s="3">
        <v>137</v>
      </c>
      <c r="B164" s="14">
        <v>10506001055</v>
      </c>
      <c r="C164" s="14"/>
      <c r="D164" s="4" t="s">
        <v>210</v>
      </c>
      <c r="E164" s="14" t="s">
        <v>251</v>
      </c>
      <c r="F164" s="14"/>
      <c r="G164" s="14"/>
      <c r="H164" s="3" t="s">
        <v>212</v>
      </c>
      <c r="I164" s="11">
        <v>1289</v>
      </c>
      <c r="J164" s="16">
        <v>10.19</v>
      </c>
      <c r="K164" s="15"/>
      <c r="L164" s="11">
        <v>13134.91</v>
      </c>
    </row>
    <row r="165" spans="1:12" ht="125" customHeight="1">
      <c r="A165" s="3">
        <v>138</v>
      </c>
      <c r="B165" s="14">
        <v>10506001056</v>
      </c>
      <c r="C165" s="14"/>
      <c r="D165" s="4" t="s">
        <v>210</v>
      </c>
      <c r="E165" s="14" t="s">
        <v>252</v>
      </c>
      <c r="F165" s="14"/>
      <c r="G165" s="14"/>
      <c r="H165" s="3" t="s">
        <v>212</v>
      </c>
      <c r="I165" s="11">
        <v>1448</v>
      </c>
      <c r="J165" s="16">
        <v>12.23</v>
      </c>
      <c r="K165" s="15"/>
      <c r="L165" s="11">
        <v>17709.04</v>
      </c>
    </row>
    <row r="166" spans="1:12" ht="125" customHeight="1">
      <c r="A166" s="3">
        <v>139</v>
      </c>
      <c r="B166" s="14">
        <v>10506001057</v>
      </c>
      <c r="C166" s="14"/>
      <c r="D166" s="4" t="s">
        <v>210</v>
      </c>
      <c r="E166" s="14" t="s">
        <v>253</v>
      </c>
      <c r="F166" s="14"/>
      <c r="G166" s="14"/>
      <c r="H166" s="3" t="s">
        <v>212</v>
      </c>
      <c r="I166" s="11">
        <v>3426</v>
      </c>
      <c r="J166" s="16">
        <v>12.57</v>
      </c>
      <c r="K166" s="15"/>
      <c r="L166" s="11">
        <v>43064.82</v>
      </c>
    </row>
    <row r="167" spans="1:12" ht="125" customHeight="1">
      <c r="A167" s="3">
        <v>140</v>
      </c>
      <c r="B167" s="14">
        <v>10506001058</v>
      </c>
      <c r="C167" s="14"/>
      <c r="D167" s="4" t="s">
        <v>210</v>
      </c>
      <c r="E167" s="14" t="s">
        <v>254</v>
      </c>
      <c r="F167" s="14"/>
      <c r="G167" s="14"/>
      <c r="H167" s="3" t="s">
        <v>212</v>
      </c>
      <c r="I167" s="11">
        <v>31223</v>
      </c>
      <c r="J167" s="16">
        <v>13.14</v>
      </c>
      <c r="K167" s="15"/>
      <c r="L167" s="11">
        <v>410270.22</v>
      </c>
    </row>
    <row r="168" spans="1:12" ht="125" customHeight="1">
      <c r="A168" s="3">
        <v>141</v>
      </c>
      <c r="B168" s="14">
        <v>10506001059</v>
      </c>
      <c r="C168" s="14"/>
      <c r="D168" s="4" t="s">
        <v>210</v>
      </c>
      <c r="E168" s="14" t="s">
        <v>255</v>
      </c>
      <c r="F168" s="14"/>
      <c r="G168" s="14"/>
      <c r="H168" s="3" t="s">
        <v>212</v>
      </c>
      <c r="I168" s="11">
        <v>7154</v>
      </c>
      <c r="J168" s="16">
        <v>15.54</v>
      </c>
      <c r="K168" s="15"/>
      <c r="L168" s="11">
        <v>111173.16</v>
      </c>
    </row>
    <row r="169" spans="1:12" ht="125" customHeight="1">
      <c r="A169" s="3">
        <v>142</v>
      </c>
      <c r="B169" s="14">
        <v>10506001060</v>
      </c>
      <c r="C169" s="14"/>
      <c r="D169" s="4" t="s">
        <v>210</v>
      </c>
      <c r="E169" s="14" t="s">
        <v>256</v>
      </c>
      <c r="F169" s="14"/>
      <c r="G169" s="14"/>
      <c r="H169" s="3" t="s">
        <v>212</v>
      </c>
      <c r="I169" s="11">
        <v>2729</v>
      </c>
      <c r="J169" s="16">
        <v>16.22</v>
      </c>
      <c r="K169" s="15"/>
      <c r="L169" s="11">
        <v>44264.38</v>
      </c>
    </row>
    <row r="170" spans="1:12" ht="125" customHeight="1">
      <c r="A170" s="3">
        <v>143</v>
      </c>
      <c r="B170" s="14">
        <v>10506001061</v>
      </c>
      <c r="C170" s="14"/>
      <c r="D170" s="4" t="s">
        <v>210</v>
      </c>
      <c r="E170" s="14" t="s">
        <v>257</v>
      </c>
      <c r="F170" s="14"/>
      <c r="G170" s="14"/>
      <c r="H170" s="3" t="s">
        <v>212</v>
      </c>
      <c r="I170" s="11">
        <v>2080</v>
      </c>
      <c r="J170" s="16">
        <v>20.21</v>
      </c>
      <c r="K170" s="15"/>
      <c r="L170" s="11">
        <v>42036.800000000003</v>
      </c>
    </row>
    <row r="171" spans="1:12" ht="125" customHeight="1">
      <c r="A171" s="3">
        <v>144</v>
      </c>
      <c r="B171" s="14">
        <v>10506001062</v>
      </c>
      <c r="C171" s="14"/>
      <c r="D171" s="4" t="s">
        <v>210</v>
      </c>
      <c r="E171" s="14" t="s">
        <v>258</v>
      </c>
      <c r="F171" s="14"/>
      <c r="G171" s="14"/>
      <c r="H171" s="3" t="s">
        <v>212</v>
      </c>
      <c r="I171" s="11">
        <v>1303</v>
      </c>
      <c r="J171" s="16">
        <v>20.67</v>
      </c>
      <c r="K171" s="15"/>
      <c r="L171" s="11">
        <v>26933.01</v>
      </c>
    </row>
    <row r="172" spans="1:12" ht="125" customHeight="1">
      <c r="A172" s="3">
        <v>145</v>
      </c>
      <c r="B172" s="14">
        <v>10506001063</v>
      </c>
      <c r="C172" s="14"/>
      <c r="D172" s="4" t="s">
        <v>210</v>
      </c>
      <c r="E172" s="14" t="s">
        <v>259</v>
      </c>
      <c r="F172" s="14"/>
      <c r="G172" s="14"/>
      <c r="H172" s="3" t="s">
        <v>212</v>
      </c>
      <c r="I172" s="11">
        <v>8</v>
      </c>
      <c r="J172" s="16">
        <v>21.13</v>
      </c>
      <c r="K172" s="15"/>
      <c r="L172" s="11">
        <v>169.04</v>
      </c>
    </row>
    <row r="173" spans="1:12" ht="23" customHeight="1">
      <c r="A173" s="3" t="s">
        <v>53</v>
      </c>
      <c r="B173" s="14" t="s">
        <v>53</v>
      </c>
      <c r="C173" s="14"/>
      <c r="D173" s="4" t="s">
        <v>22</v>
      </c>
      <c r="E173" s="14" t="s">
        <v>53</v>
      </c>
      <c r="F173" s="14"/>
      <c r="G173" s="14"/>
      <c r="H173" s="3" t="s">
        <v>53</v>
      </c>
      <c r="I173" s="10" t="s">
        <v>53</v>
      </c>
      <c r="J173" s="15" t="s">
        <v>53</v>
      </c>
      <c r="K173" s="15"/>
      <c r="L173" s="11">
        <v>13035525.050000001</v>
      </c>
    </row>
    <row r="174" spans="1:12" ht="23" customHeight="1">
      <c r="A174" s="3" t="s">
        <v>53</v>
      </c>
      <c r="B174" s="14" t="s">
        <v>53</v>
      </c>
      <c r="C174" s="14"/>
      <c r="D174" s="4" t="s">
        <v>260</v>
      </c>
      <c r="E174" s="14" t="s">
        <v>53</v>
      </c>
      <c r="F174" s="14"/>
      <c r="G174" s="14"/>
      <c r="H174" s="3" t="s">
        <v>53</v>
      </c>
      <c r="I174" s="10" t="s">
        <v>53</v>
      </c>
      <c r="J174" s="15" t="s">
        <v>53</v>
      </c>
      <c r="K174" s="15"/>
      <c r="L174" s="11">
        <v>7036164.1299999999</v>
      </c>
    </row>
    <row r="175" spans="1:12" ht="213" customHeight="1">
      <c r="A175" s="3">
        <v>146</v>
      </c>
      <c r="B175" s="14">
        <v>10603001001</v>
      </c>
      <c r="C175" s="14"/>
      <c r="D175" s="4" t="s">
        <v>261</v>
      </c>
      <c r="E175" s="14" t="s">
        <v>262</v>
      </c>
      <c r="F175" s="14"/>
      <c r="G175" s="14"/>
      <c r="H175" s="3" t="s">
        <v>192</v>
      </c>
      <c r="I175" s="11">
        <v>2.64</v>
      </c>
      <c r="J175" s="16">
        <v>6034.87</v>
      </c>
      <c r="K175" s="15"/>
      <c r="L175" s="11">
        <v>15932.06</v>
      </c>
    </row>
    <row r="176" spans="1:12" ht="213" customHeight="1">
      <c r="A176" s="3">
        <v>147</v>
      </c>
      <c r="B176" s="14">
        <v>10604001001</v>
      </c>
      <c r="C176" s="14"/>
      <c r="D176" s="4" t="s">
        <v>263</v>
      </c>
      <c r="E176" s="14" t="s">
        <v>264</v>
      </c>
      <c r="F176" s="14"/>
      <c r="G176" s="14"/>
      <c r="H176" s="3" t="s">
        <v>192</v>
      </c>
      <c r="I176" s="11">
        <v>178.88</v>
      </c>
      <c r="J176" s="16">
        <v>6308.4</v>
      </c>
      <c r="K176" s="15"/>
      <c r="L176" s="11">
        <v>1128446.5900000001</v>
      </c>
    </row>
    <row r="177" spans="1:12" ht="288" customHeight="1">
      <c r="A177" s="3">
        <v>148</v>
      </c>
      <c r="B177" s="14">
        <v>10607002001</v>
      </c>
      <c r="C177" s="14"/>
      <c r="D177" s="4" t="s">
        <v>265</v>
      </c>
      <c r="E177" s="14" t="s">
        <v>266</v>
      </c>
      <c r="F177" s="14"/>
      <c r="G177" s="14"/>
      <c r="H177" s="3" t="s">
        <v>192</v>
      </c>
      <c r="I177" s="11">
        <v>258.55</v>
      </c>
      <c r="J177" s="16">
        <v>7684.23</v>
      </c>
      <c r="K177" s="15"/>
      <c r="L177" s="11">
        <v>1986757.67</v>
      </c>
    </row>
    <row r="178" spans="1:12" ht="228" customHeight="1">
      <c r="A178" s="3">
        <v>149</v>
      </c>
      <c r="B178" s="14">
        <v>10607002002</v>
      </c>
      <c r="C178" s="14"/>
      <c r="D178" s="4" t="s">
        <v>267</v>
      </c>
      <c r="E178" s="14" t="s">
        <v>268</v>
      </c>
      <c r="F178" s="14"/>
      <c r="G178" s="14"/>
      <c r="H178" s="3" t="s">
        <v>192</v>
      </c>
      <c r="I178" s="11">
        <v>5.34</v>
      </c>
      <c r="J178" s="16">
        <v>7786.44</v>
      </c>
      <c r="K178" s="15"/>
      <c r="L178" s="11">
        <v>41579.589999999997</v>
      </c>
    </row>
    <row r="179" spans="1:12" ht="228" customHeight="1">
      <c r="A179" s="3">
        <v>150</v>
      </c>
      <c r="B179" s="14">
        <v>10607003001</v>
      </c>
      <c r="C179" s="14"/>
      <c r="D179" s="4" t="s">
        <v>269</v>
      </c>
      <c r="E179" s="14" t="s">
        <v>270</v>
      </c>
      <c r="F179" s="14"/>
      <c r="G179" s="14"/>
      <c r="H179" s="3" t="s">
        <v>192</v>
      </c>
      <c r="I179" s="11">
        <v>101.35</v>
      </c>
      <c r="J179" s="16">
        <v>7994.29</v>
      </c>
      <c r="K179" s="15"/>
      <c r="L179" s="11">
        <v>810221.29</v>
      </c>
    </row>
    <row r="180" spans="1:12" ht="95" customHeight="1">
      <c r="A180" s="3">
        <v>151</v>
      </c>
      <c r="B180" s="14">
        <v>11502001001</v>
      </c>
      <c r="C180" s="14"/>
      <c r="D180" s="4" t="s">
        <v>271</v>
      </c>
      <c r="E180" s="14" t="s">
        <v>272</v>
      </c>
      <c r="F180" s="14"/>
      <c r="G180" s="14"/>
      <c r="H180" s="3" t="s">
        <v>273</v>
      </c>
      <c r="I180" s="11">
        <v>332.8</v>
      </c>
      <c r="J180" s="16">
        <v>9.08</v>
      </c>
      <c r="K180" s="15"/>
      <c r="L180" s="11">
        <v>3021.82</v>
      </c>
    </row>
    <row r="181" spans="1:12" ht="95" customHeight="1">
      <c r="A181" s="3">
        <v>152</v>
      </c>
      <c r="B181" s="14">
        <v>10605003001</v>
      </c>
      <c r="C181" s="14"/>
      <c r="D181" s="4" t="s">
        <v>274</v>
      </c>
      <c r="E181" s="14" t="s">
        <v>275</v>
      </c>
      <c r="F181" s="14"/>
      <c r="G181" s="14"/>
      <c r="H181" s="3" t="s">
        <v>94</v>
      </c>
      <c r="I181" s="11">
        <v>54</v>
      </c>
      <c r="J181" s="16">
        <v>96.38</v>
      </c>
      <c r="K181" s="15"/>
      <c r="L181" s="11">
        <v>5204.5200000000004</v>
      </c>
    </row>
    <row r="182" spans="1:12" ht="80" customHeight="1">
      <c r="A182" s="3">
        <v>153</v>
      </c>
      <c r="B182" s="14">
        <v>10605003002</v>
      </c>
      <c r="C182" s="14"/>
      <c r="D182" s="4" t="s">
        <v>276</v>
      </c>
      <c r="E182" s="14" t="s">
        <v>277</v>
      </c>
      <c r="F182" s="14"/>
      <c r="G182" s="14"/>
      <c r="H182" s="3" t="s">
        <v>94</v>
      </c>
      <c r="I182" s="11">
        <v>36</v>
      </c>
      <c r="J182" s="16">
        <v>96.61</v>
      </c>
      <c r="K182" s="15"/>
      <c r="L182" s="11">
        <v>3477.96</v>
      </c>
    </row>
    <row r="183" spans="1:12" ht="95" customHeight="1">
      <c r="A183" s="3">
        <v>154</v>
      </c>
      <c r="B183" s="14">
        <v>10605003003</v>
      </c>
      <c r="C183" s="14"/>
      <c r="D183" s="4" t="s">
        <v>278</v>
      </c>
      <c r="E183" s="14" t="s">
        <v>279</v>
      </c>
      <c r="F183" s="14"/>
      <c r="G183" s="14"/>
      <c r="H183" s="3" t="s">
        <v>94</v>
      </c>
      <c r="I183" s="11">
        <v>43</v>
      </c>
      <c r="J183" s="16">
        <v>162.41</v>
      </c>
      <c r="K183" s="15"/>
      <c r="L183" s="11">
        <v>6983.63</v>
      </c>
    </row>
    <row r="184" spans="1:12" ht="183" customHeight="1">
      <c r="A184" s="3">
        <v>155</v>
      </c>
      <c r="B184" s="14">
        <v>10901007001</v>
      </c>
      <c r="C184" s="14"/>
      <c r="D184" s="4" t="s">
        <v>280</v>
      </c>
      <c r="E184" s="14" t="s">
        <v>281</v>
      </c>
      <c r="F184" s="14"/>
      <c r="G184" s="14"/>
      <c r="H184" s="3" t="s">
        <v>273</v>
      </c>
      <c r="I184" s="11">
        <v>295.7</v>
      </c>
      <c r="J184" s="16">
        <v>461.5</v>
      </c>
      <c r="K184" s="15"/>
      <c r="L184" s="11">
        <v>136465.54999999999</v>
      </c>
    </row>
    <row r="185" spans="1:12" ht="183" customHeight="1">
      <c r="A185" s="3">
        <v>156</v>
      </c>
      <c r="B185" s="14">
        <v>10901007002</v>
      </c>
      <c r="C185" s="14"/>
      <c r="D185" s="4" t="s">
        <v>282</v>
      </c>
      <c r="E185" s="14" t="s">
        <v>283</v>
      </c>
      <c r="F185" s="14"/>
      <c r="G185" s="14"/>
      <c r="H185" s="3" t="s">
        <v>273</v>
      </c>
      <c r="I185" s="11">
        <v>648.4</v>
      </c>
      <c r="J185" s="16">
        <v>1421.43</v>
      </c>
      <c r="K185" s="15"/>
      <c r="L185" s="11">
        <v>921655.21</v>
      </c>
    </row>
    <row r="186" spans="1:12" ht="317" customHeight="1">
      <c r="A186" s="3">
        <v>157</v>
      </c>
      <c r="B186" s="14">
        <v>11402003001</v>
      </c>
      <c r="C186" s="14"/>
      <c r="D186" s="4" t="s">
        <v>284</v>
      </c>
      <c r="E186" s="14" t="s">
        <v>285</v>
      </c>
      <c r="F186" s="14"/>
      <c r="G186" s="14"/>
      <c r="H186" s="3" t="s">
        <v>94</v>
      </c>
      <c r="I186" s="11">
        <v>4667.96</v>
      </c>
      <c r="J186" s="16">
        <v>42.98</v>
      </c>
      <c r="K186" s="15"/>
      <c r="L186" s="11">
        <v>200628.92</v>
      </c>
    </row>
    <row r="187" spans="1:12" ht="228" customHeight="1">
      <c r="A187" s="3">
        <v>158</v>
      </c>
      <c r="B187" s="14">
        <v>11402003002</v>
      </c>
      <c r="C187" s="14"/>
      <c r="D187" s="4" t="s">
        <v>286</v>
      </c>
      <c r="E187" s="14" t="s">
        <v>287</v>
      </c>
      <c r="F187" s="14"/>
      <c r="G187" s="14"/>
      <c r="H187" s="3" t="s">
        <v>94</v>
      </c>
      <c r="I187" s="11">
        <v>53.4</v>
      </c>
      <c r="J187" s="16">
        <v>16.239999999999998</v>
      </c>
      <c r="K187" s="15"/>
      <c r="L187" s="11">
        <v>867.22</v>
      </c>
    </row>
    <row r="188" spans="1:12" ht="125" customHeight="1">
      <c r="A188" s="3">
        <v>159</v>
      </c>
      <c r="B188" s="14">
        <v>10605003004</v>
      </c>
      <c r="C188" s="14"/>
      <c r="D188" s="4" t="s">
        <v>288</v>
      </c>
      <c r="E188" s="14" t="s">
        <v>289</v>
      </c>
      <c r="F188" s="14"/>
      <c r="G188" s="14"/>
      <c r="H188" s="3" t="s">
        <v>94</v>
      </c>
      <c r="I188" s="11">
        <v>2454.31</v>
      </c>
      <c r="J188" s="16">
        <v>74.5</v>
      </c>
      <c r="K188" s="15"/>
      <c r="L188" s="11">
        <v>182846.1</v>
      </c>
    </row>
    <row r="189" spans="1:12" ht="125" customHeight="1">
      <c r="A189" s="3">
        <v>160</v>
      </c>
      <c r="B189" s="14">
        <v>10605003005</v>
      </c>
      <c r="C189" s="14"/>
      <c r="D189" s="4" t="s">
        <v>290</v>
      </c>
      <c r="E189" s="14" t="s">
        <v>291</v>
      </c>
      <c r="F189" s="14"/>
      <c r="G189" s="14"/>
      <c r="H189" s="3" t="s">
        <v>94</v>
      </c>
      <c r="I189" s="11">
        <v>2454.31</v>
      </c>
      <c r="J189" s="16">
        <v>67.760000000000005</v>
      </c>
      <c r="K189" s="15"/>
      <c r="L189" s="11">
        <v>166304.04999999999</v>
      </c>
    </row>
    <row r="190" spans="1:12" ht="125" customHeight="1">
      <c r="A190" s="3">
        <v>161</v>
      </c>
      <c r="B190" s="14">
        <v>11402003003</v>
      </c>
      <c r="C190" s="14"/>
      <c r="D190" s="4" t="s">
        <v>292</v>
      </c>
      <c r="E190" s="14" t="s">
        <v>293</v>
      </c>
      <c r="F190" s="14"/>
      <c r="G190" s="14"/>
      <c r="H190" s="3" t="s">
        <v>94</v>
      </c>
      <c r="I190" s="11">
        <v>5146.57</v>
      </c>
      <c r="J190" s="16">
        <v>57.34</v>
      </c>
      <c r="K190" s="15"/>
      <c r="L190" s="11">
        <v>295104.32</v>
      </c>
    </row>
    <row r="191" spans="1:12" ht="125" customHeight="1">
      <c r="A191" s="3">
        <v>162</v>
      </c>
      <c r="B191" s="14">
        <v>11402003004</v>
      </c>
      <c r="C191" s="14"/>
      <c r="D191" s="4" t="s">
        <v>292</v>
      </c>
      <c r="E191" s="14" t="s">
        <v>294</v>
      </c>
      <c r="F191" s="14"/>
      <c r="G191" s="14"/>
      <c r="H191" s="3" t="s">
        <v>94</v>
      </c>
      <c r="I191" s="11">
        <v>12965.95</v>
      </c>
      <c r="J191" s="16">
        <v>85.64</v>
      </c>
      <c r="K191" s="15"/>
      <c r="L191" s="11">
        <v>1110403.96</v>
      </c>
    </row>
    <row r="192" spans="1:12" ht="125" customHeight="1">
      <c r="A192" s="3">
        <v>163</v>
      </c>
      <c r="B192" s="14">
        <v>10301003001</v>
      </c>
      <c r="C192" s="14"/>
      <c r="D192" s="4" t="s">
        <v>295</v>
      </c>
      <c r="E192" s="14" t="s">
        <v>296</v>
      </c>
      <c r="F192" s="14"/>
      <c r="G192" s="14"/>
      <c r="H192" s="3" t="s">
        <v>79</v>
      </c>
      <c r="I192" s="11">
        <v>12</v>
      </c>
      <c r="J192" s="16">
        <v>895.17</v>
      </c>
      <c r="K192" s="15"/>
      <c r="L192" s="11">
        <v>10742.04</v>
      </c>
    </row>
    <row r="193" spans="1:12" ht="80" customHeight="1">
      <c r="A193" s="3">
        <v>164</v>
      </c>
      <c r="B193" s="14">
        <v>11205001001</v>
      </c>
      <c r="C193" s="14"/>
      <c r="D193" s="4" t="s">
        <v>297</v>
      </c>
      <c r="E193" s="14" t="s">
        <v>298</v>
      </c>
      <c r="F193" s="14"/>
      <c r="G193" s="14"/>
      <c r="H193" s="3" t="s">
        <v>94</v>
      </c>
      <c r="I193" s="11">
        <v>21</v>
      </c>
      <c r="J193" s="16">
        <v>38.01</v>
      </c>
      <c r="K193" s="15"/>
      <c r="L193" s="11">
        <v>798.21</v>
      </c>
    </row>
    <row r="194" spans="1:12" ht="80" customHeight="1">
      <c r="A194" s="3">
        <v>165</v>
      </c>
      <c r="B194" s="14">
        <v>10506024001</v>
      </c>
      <c r="C194" s="14"/>
      <c r="D194" s="4" t="s">
        <v>299</v>
      </c>
      <c r="E194" s="14" t="s">
        <v>300</v>
      </c>
      <c r="F194" s="14"/>
      <c r="G194" s="14"/>
      <c r="H194" s="3" t="s">
        <v>250</v>
      </c>
      <c r="I194" s="11">
        <v>1</v>
      </c>
      <c r="J194" s="16">
        <v>6.29</v>
      </c>
      <c r="K194" s="15"/>
      <c r="L194" s="11">
        <v>6.29</v>
      </c>
    </row>
    <row r="195" spans="1:12" ht="80" customHeight="1">
      <c r="A195" s="3">
        <v>166</v>
      </c>
      <c r="B195" s="14">
        <v>10506024002</v>
      </c>
      <c r="C195" s="14"/>
      <c r="D195" s="4" t="s">
        <v>299</v>
      </c>
      <c r="E195" s="14" t="s">
        <v>301</v>
      </c>
      <c r="F195" s="14"/>
      <c r="G195" s="14"/>
      <c r="H195" s="3" t="s">
        <v>250</v>
      </c>
      <c r="I195" s="11">
        <v>1</v>
      </c>
      <c r="J195" s="16">
        <v>6.61</v>
      </c>
      <c r="K195" s="15"/>
      <c r="L195" s="11">
        <v>6.61</v>
      </c>
    </row>
    <row r="196" spans="1:12" ht="80" customHeight="1">
      <c r="A196" s="3">
        <v>167</v>
      </c>
      <c r="B196" s="14">
        <v>10506024003</v>
      </c>
      <c r="C196" s="14"/>
      <c r="D196" s="4" t="s">
        <v>299</v>
      </c>
      <c r="E196" s="14" t="s">
        <v>302</v>
      </c>
      <c r="F196" s="14"/>
      <c r="G196" s="14"/>
      <c r="H196" s="3" t="s">
        <v>250</v>
      </c>
      <c r="I196" s="11">
        <v>260</v>
      </c>
      <c r="J196" s="16">
        <v>8.6999999999999993</v>
      </c>
      <c r="K196" s="15"/>
      <c r="L196" s="11">
        <v>2262</v>
      </c>
    </row>
    <row r="197" spans="1:12" ht="80" customHeight="1">
      <c r="A197" s="3">
        <v>168</v>
      </c>
      <c r="B197" s="14">
        <v>10506024004</v>
      </c>
      <c r="C197" s="14"/>
      <c r="D197" s="4" t="s">
        <v>299</v>
      </c>
      <c r="E197" s="14" t="s">
        <v>303</v>
      </c>
      <c r="F197" s="14"/>
      <c r="G197" s="14"/>
      <c r="H197" s="3" t="s">
        <v>250</v>
      </c>
      <c r="I197" s="11">
        <v>300</v>
      </c>
      <c r="J197" s="16">
        <v>9.69</v>
      </c>
      <c r="K197" s="15"/>
      <c r="L197" s="11">
        <v>2907</v>
      </c>
    </row>
    <row r="198" spans="1:12" ht="80" customHeight="1">
      <c r="A198" s="3">
        <v>169</v>
      </c>
      <c r="B198" s="14">
        <v>10506024005</v>
      </c>
      <c r="C198" s="14"/>
      <c r="D198" s="4" t="s">
        <v>299</v>
      </c>
      <c r="E198" s="14" t="s">
        <v>304</v>
      </c>
      <c r="F198" s="14"/>
      <c r="G198" s="14"/>
      <c r="H198" s="3" t="s">
        <v>250</v>
      </c>
      <c r="I198" s="11">
        <v>96</v>
      </c>
      <c r="J198" s="16">
        <v>10.69</v>
      </c>
      <c r="K198" s="15"/>
      <c r="L198" s="11">
        <v>1026.24</v>
      </c>
    </row>
    <row r="199" spans="1:12" ht="80" customHeight="1">
      <c r="A199" s="3">
        <v>170</v>
      </c>
      <c r="B199" s="14">
        <v>10506024006</v>
      </c>
      <c r="C199" s="14"/>
      <c r="D199" s="4" t="s">
        <v>299</v>
      </c>
      <c r="E199" s="14" t="s">
        <v>305</v>
      </c>
      <c r="F199" s="14"/>
      <c r="G199" s="14"/>
      <c r="H199" s="3" t="s">
        <v>250</v>
      </c>
      <c r="I199" s="11">
        <v>184</v>
      </c>
      <c r="J199" s="16">
        <v>13.67</v>
      </c>
      <c r="K199" s="15"/>
      <c r="L199" s="11">
        <v>2515.2800000000002</v>
      </c>
    </row>
    <row r="200" spans="1:12" ht="23" customHeight="1">
      <c r="A200" s="3" t="s">
        <v>53</v>
      </c>
      <c r="B200" s="14" t="s">
        <v>53</v>
      </c>
      <c r="C200" s="14"/>
      <c r="D200" s="4" t="s">
        <v>306</v>
      </c>
      <c r="E200" s="14" t="s">
        <v>53</v>
      </c>
      <c r="F200" s="14"/>
      <c r="G200" s="14"/>
      <c r="H200" s="3" t="s">
        <v>53</v>
      </c>
      <c r="I200" s="10" t="s">
        <v>53</v>
      </c>
      <c r="J200" s="15" t="s">
        <v>53</v>
      </c>
      <c r="K200" s="15"/>
      <c r="L200" s="11">
        <v>5999360.9199999999</v>
      </c>
    </row>
    <row r="201" spans="1:12" ht="213" customHeight="1">
      <c r="A201" s="3">
        <v>171</v>
      </c>
      <c r="B201" s="14">
        <v>10603001002</v>
      </c>
      <c r="C201" s="14"/>
      <c r="D201" s="4" t="s">
        <v>261</v>
      </c>
      <c r="E201" s="14" t="s">
        <v>307</v>
      </c>
      <c r="F201" s="14"/>
      <c r="G201" s="14"/>
      <c r="H201" s="3" t="s">
        <v>192</v>
      </c>
      <c r="I201" s="11">
        <v>370.52</v>
      </c>
      <c r="J201" s="16">
        <v>7293.88</v>
      </c>
      <c r="K201" s="15"/>
      <c r="L201" s="11">
        <v>2702528.42</v>
      </c>
    </row>
    <row r="202" spans="1:12" ht="198" customHeight="1">
      <c r="A202" s="3">
        <v>172</v>
      </c>
      <c r="B202" s="14">
        <v>10607002003</v>
      </c>
      <c r="C202" s="14"/>
      <c r="D202" s="4" t="s">
        <v>265</v>
      </c>
      <c r="E202" s="14" t="s">
        <v>308</v>
      </c>
      <c r="F202" s="14"/>
      <c r="G202" s="14"/>
      <c r="H202" s="3" t="s">
        <v>192</v>
      </c>
      <c r="I202" s="11">
        <v>11.16</v>
      </c>
      <c r="J202" s="16">
        <v>7684.23</v>
      </c>
      <c r="K202" s="15"/>
      <c r="L202" s="11">
        <v>85756.01</v>
      </c>
    </row>
    <row r="203" spans="1:12" ht="228" customHeight="1">
      <c r="A203" s="3">
        <v>173</v>
      </c>
      <c r="B203" s="14">
        <v>10607003002</v>
      </c>
      <c r="C203" s="14"/>
      <c r="D203" s="4" t="s">
        <v>269</v>
      </c>
      <c r="E203" s="14" t="s">
        <v>309</v>
      </c>
      <c r="F203" s="14"/>
      <c r="G203" s="14"/>
      <c r="H203" s="3" t="s">
        <v>192</v>
      </c>
      <c r="I203" s="11">
        <v>342.72</v>
      </c>
      <c r="J203" s="16">
        <v>7994.29</v>
      </c>
      <c r="K203" s="15"/>
      <c r="L203" s="11">
        <v>2739803.07</v>
      </c>
    </row>
    <row r="204" spans="1:12" ht="125" customHeight="1">
      <c r="A204" s="3">
        <v>174</v>
      </c>
      <c r="B204" s="14">
        <v>11402003005</v>
      </c>
      <c r="C204" s="14"/>
      <c r="D204" s="4" t="s">
        <v>292</v>
      </c>
      <c r="E204" s="14" t="s">
        <v>310</v>
      </c>
      <c r="F204" s="14"/>
      <c r="G204" s="14"/>
      <c r="H204" s="3" t="s">
        <v>94</v>
      </c>
      <c r="I204" s="11">
        <v>492.32</v>
      </c>
      <c r="J204" s="16">
        <v>30.74</v>
      </c>
      <c r="K204" s="15"/>
      <c r="L204" s="11">
        <v>15133.92</v>
      </c>
    </row>
    <row r="205" spans="1:12" ht="125" customHeight="1">
      <c r="A205" s="3">
        <v>175</v>
      </c>
      <c r="B205" s="14">
        <v>11402003006</v>
      </c>
      <c r="C205" s="14"/>
      <c r="D205" s="4" t="s">
        <v>292</v>
      </c>
      <c r="E205" s="14" t="s">
        <v>294</v>
      </c>
      <c r="F205" s="14"/>
      <c r="G205" s="14"/>
      <c r="H205" s="3" t="s">
        <v>94</v>
      </c>
      <c r="I205" s="11">
        <v>5305.34</v>
      </c>
      <c r="J205" s="16">
        <v>85.64</v>
      </c>
      <c r="K205" s="15"/>
      <c r="L205" s="11">
        <v>454349.32</v>
      </c>
    </row>
    <row r="206" spans="1:12" ht="125" customHeight="1">
      <c r="A206" s="3">
        <v>176</v>
      </c>
      <c r="B206" s="14">
        <v>10506024007</v>
      </c>
      <c r="C206" s="14"/>
      <c r="D206" s="4" t="s">
        <v>311</v>
      </c>
      <c r="E206" s="14" t="s">
        <v>312</v>
      </c>
      <c r="F206" s="14"/>
      <c r="G206" s="14"/>
      <c r="H206" s="3" t="s">
        <v>250</v>
      </c>
      <c r="I206" s="11">
        <v>1</v>
      </c>
      <c r="J206" s="16">
        <v>16.100000000000001</v>
      </c>
      <c r="K206" s="15"/>
      <c r="L206" s="11">
        <v>16.100000000000001</v>
      </c>
    </row>
    <row r="207" spans="1:12" ht="80" customHeight="1">
      <c r="A207" s="3">
        <v>177</v>
      </c>
      <c r="B207" s="14">
        <v>10506024008</v>
      </c>
      <c r="C207" s="14"/>
      <c r="D207" s="4" t="s">
        <v>299</v>
      </c>
      <c r="E207" s="14" t="s">
        <v>300</v>
      </c>
      <c r="F207" s="14"/>
      <c r="G207" s="14"/>
      <c r="H207" s="3" t="s">
        <v>250</v>
      </c>
      <c r="I207" s="11">
        <v>128</v>
      </c>
      <c r="J207" s="16">
        <v>6.29</v>
      </c>
      <c r="K207" s="15"/>
      <c r="L207" s="11">
        <v>805.12</v>
      </c>
    </row>
    <row r="208" spans="1:12" ht="80" customHeight="1">
      <c r="A208" s="3">
        <v>178</v>
      </c>
      <c r="B208" s="14">
        <v>10506024009</v>
      </c>
      <c r="C208" s="14"/>
      <c r="D208" s="4" t="s">
        <v>299</v>
      </c>
      <c r="E208" s="14" t="s">
        <v>313</v>
      </c>
      <c r="F208" s="14"/>
      <c r="G208" s="14"/>
      <c r="H208" s="3" t="s">
        <v>250</v>
      </c>
      <c r="I208" s="11">
        <v>128</v>
      </c>
      <c r="J208" s="16">
        <v>7.57</v>
      </c>
      <c r="K208" s="15"/>
      <c r="L208" s="11">
        <v>968.96</v>
      </c>
    </row>
    <row r="209" spans="1:12" ht="23" customHeight="1">
      <c r="A209" s="3" t="s">
        <v>53</v>
      </c>
      <c r="B209" s="14" t="s">
        <v>53</v>
      </c>
      <c r="C209" s="14"/>
      <c r="D209" s="4" t="s">
        <v>25</v>
      </c>
      <c r="E209" s="14" t="s">
        <v>53</v>
      </c>
      <c r="F209" s="14"/>
      <c r="G209" s="14"/>
      <c r="H209" s="3" t="s">
        <v>53</v>
      </c>
      <c r="I209" s="10" t="s">
        <v>53</v>
      </c>
      <c r="J209" s="15" t="s">
        <v>53</v>
      </c>
      <c r="K209" s="15"/>
      <c r="L209" s="11">
        <v>2931317.68</v>
      </c>
    </row>
    <row r="210" spans="1:12" ht="51" customHeight="1">
      <c r="A210" s="3" t="s">
        <v>53</v>
      </c>
      <c r="B210" s="14" t="s">
        <v>53</v>
      </c>
      <c r="C210" s="14"/>
      <c r="D210" s="4" t="s">
        <v>314</v>
      </c>
      <c r="E210" s="14" t="s">
        <v>53</v>
      </c>
      <c r="F210" s="14"/>
      <c r="G210" s="14"/>
      <c r="H210" s="3" t="s">
        <v>53</v>
      </c>
      <c r="I210" s="10" t="s">
        <v>53</v>
      </c>
      <c r="J210" s="15" t="s">
        <v>53</v>
      </c>
      <c r="K210" s="15"/>
      <c r="L210" s="11">
        <v>89310.91</v>
      </c>
    </row>
    <row r="211" spans="1:12" ht="332" customHeight="1">
      <c r="A211" s="3">
        <v>179</v>
      </c>
      <c r="B211" s="14">
        <v>10902002001</v>
      </c>
      <c r="C211" s="14"/>
      <c r="D211" s="4" t="s">
        <v>315</v>
      </c>
      <c r="E211" s="14" t="s">
        <v>316</v>
      </c>
      <c r="F211" s="14"/>
      <c r="G211" s="14"/>
      <c r="H211" s="3" t="s">
        <v>94</v>
      </c>
      <c r="I211" s="11">
        <v>426.08</v>
      </c>
      <c r="J211" s="16">
        <v>37.869999999999997</v>
      </c>
      <c r="K211" s="15"/>
      <c r="L211" s="11">
        <v>16135.65</v>
      </c>
    </row>
    <row r="212" spans="1:12" ht="213" customHeight="1">
      <c r="A212" s="3">
        <v>180</v>
      </c>
      <c r="B212" s="14">
        <v>10902001001</v>
      </c>
      <c r="C212" s="14"/>
      <c r="D212" s="4" t="s">
        <v>317</v>
      </c>
      <c r="E212" s="14" t="s">
        <v>318</v>
      </c>
      <c r="F212" s="14"/>
      <c r="G212" s="14"/>
      <c r="H212" s="3" t="s">
        <v>94</v>
      </c>
      <c r="I212" s="11">
        <v>426.08</v>
      </c>
      <c r="J212" s="16">
        <v>67.069999999999993</v>
      </c>
      <c r="K212" s="15"/>
      <c r="L212" s="11">
        <v>28577.19</v>
      </c>
    </row>
    <row r="213" spans="1:12" ht="198" customHeight="1">
      <c r="A213" s="3">
        <v>181</v>
      </c>
      <c r="B213" s="14">
        <v>11001001001</v>
      </c>
      <c r="C213" s="14"/>
      <c r="D213" s="4" t="s">
        <v>319</v>
      </c>
      <c r="E213" s="14" t="s">
        <v>320</v>
      </c>
      <c r="F213" s="14"/>
      <c r="G213" s="14"/>
      <c r="H213" s="3" t="s">
        <v>94</v>
      </c>
      <c r="I213" s="11">
        <v>411.08</v>
      </c>
      <c r="J213" s="16">
        <v>44.38</v>
      </c>
      <c r="K213" s="15"/>
      <c r="L213" s="11">
        <v>18243.73</v>
      </c>
    </row>
    <row r="214" spans="1:12" ht="139" customHeight="1">
      <c r="A214" s="3">
        <v>182</v>
      </c>
      <c r="B214" s="14">
        <v>11003001001</v>
      </c>
      <c r="C214" s="14"/>
      <c r="D214" s="4" t="s">
        <v>321</v>
      </c>
      <c r="E214" s="14" t="s">
        <v>322</v>
      </c>
      <c r="F214" s="14"/>
      <c r="G214" s="14"/>
      <c r="H214" s="3" t="s">
        <v>94</v>
      </c>
      <c r="I214" s="11">
        <v>411.08</v>
      </c>
      <c r="J214" s="16">
        <v>4.9800000000000004</v>
      </c>
      <c r="K214" s="15"/>
      <c r="L214" s="11">
        <v>2047.18</v>
      </c>
    </row>
    <row r="215" spans="1:12" ht="302" customHeight="1">
      <c r="A215" s="3">
        <v>183</v>
      </c>
      <c r="B215" s="14">
        <v>10902004001</v>
      </c>
      <c r="C215" s="14"/>
      <c r="D215" s="4" t="s">
        <v>323</v>
      </c>
      <c r="E215" s="14" t="s">
        <v>324</v>
      </c>
      <c r="F215" s="14"/>
      <c r="G215" s="14"/>
      <c r="H215" s="3" t="s">
        <v>94</v>
      </c>
      <c r="I215" s="11">
        <v>411.08</v>
      </c>
      <c r="J215" s="16">
        <v>59.13</v>
      </c>
      <c r="K215" s="15"/>
      <c r="L215" s="11">
        <v>24307.16</v>
      </c>
    </row>
    <row r="216" spans="1:12" ht="23" customHeight="1">
      <c r="A216" s="3" t="s">
        <v>53</v>
      </c>
      <c r="B216" s="14" t="s">
        <v>53</v>
      </c>
      <c r="C216" s="14"/>
      <c r="D216" s="4" t="s">
        <v>325</v>
      </c>
      <c r="E216" s="14" t="s">
        <v>53</v>
      </c>
      <c r="F216" s="14"/>
      <c r="G216" s="14"/>
      <c r="H216" s="3" t="s">
        <v>53</v>
      </c>
      <c r="I216" s="10" t="s">
        <v>53</v>
      </c>
      <c r="J216" s="15" t="s">
        <v>53</v>
      </c>
      <c r="K216" s="15"/>
      <c r="L216" s="11">
        <v>2726971.5</v>
      </c>
    </row>
    <row r="217" spans="1:12" ht="288" customHeight="1">
      <c r="A217" s="3">
        <v>184</v>
      </c>
      <c r="B217" s="14">
        <v>10605003006</v>
      </c>
      <c r="C217" s="14"/>
      <c r="D217" s="4" t="s">
        <v>326</v>
      </c>
      <c r="E217" s="14" t="s">
        <v>327</v>
      </c>
      <c r="F217" s="14"/>
      <c r="G217" s="14"/>
      <c r="H217" s="3" t="s">
        <v>94</v>
      </c>
      <c r="I217" s="11">
        <v>9570</v>
      </c>
      <c r="J217" s="16">
        <v>257.45</v>
      </c>
      <c r="K217" s="15"/>
      <c r="L217" s="11">
        <v>2463796.5</v>
      </c>
    </row>
    <row r="218" spans="1:12" ht="154" customHeight="1">
      <c r="A218" s="3">
        <v>185</v>
      </c>
      <c r="B218" s="14">
        <v>10506001064</v>
      </c>
      <c r="C218" s="14"/>
      <c r="D218" s="4" t="s">
        <v>328</v>
      </c>
      <c r="E218" s="14" t="s">
        <v>329</v>
      </c>
      <c r="F218" s="14"/>
      <c r="G218" s="14"/>
      <c r="H218" s="3" t="s">
        <v>273</v>
      </c>
      <c r="I218" s="11">
        <v>95700</v>
      </c>
      <c r="J218" s="16">
        <v>2.75</v>
      </c>
      <c r="K218" s="15"/>
      <c r="L218" s="11">
        <v>263175</v>
      </c>
    </row>
    <row r="219" spans="1:12" ht="36" customHeight="1">
      <c r="A219" s="3" t="s">
        <v>53</v>
      </c>
      <c r="B219" s="14" t="s">
        <v>53</v>
      </c>
      <c r="C219" s="14"/>
      <c r="D219" s="4" t="s">
        <v>330</v>
      </c>
      <c r="E219" s="14" t="s">
        <v>53</v>
      </c>
      <c r="F219" s="14"/>
      <c r="G219" s="14"/>
      <c r="H219" s="3" t="s">
        <v>53</v>
      </c>
      <c r="I219" s="10" t="s">
        <v>53</v>
      </c>
      <c r="J219" s="15" t="s">
        <v>53</v>
      </c>
      <c r="K219" s="15"/>
      <c r="L219" s="11">
        <v>538.77</v>
      </c>
    </row>
    <row r="220" spans="1:12" ht="198" customHeight="1">
      <c r="A220" s="3">
        <v>186</v>
      </c>
      <c r="B220" s="14">
        <v>10904001001</v>
      </c>
      <c r="C220" s="14"/>
      <c r="D220" s="4" t="s">
        <v>331</v>
      </c>
      <c r="E220" s="14" t="s">
        <v>332</v>
      </c>
      <c r="F220" s="14"/>
      <c r="G220" s="14"/>
      <c r="H220" s="3" t="s">
        <v>94</v>
      </c>
      <c r="I220" s="11">
        <v>6.76</v>
      </c>
      <c r="J220" s="16">
        <v>79.7</v>
      </c>
      <c r="K220" s="15"/>
      <c r="L220" s="11">
        <v>538.77</v>
      </c>
    </row>
    <row r="221" spans="1:12" ht="36" customHeight="1">
      <c r="A221" s="3" t="s">
        <v>53</v>
      </c>
      <c r="B221" s="14" t="s">
        <v>53</v>
      </c>
      <c r="C221" s="14"/>
      <c r="D221" s="4" t="s">
        <v>333</v>
      </c>
      <c r="E221" s="14" t="s">
        <v>53</v>
      </c>
      <c r="F221" s="14"/>
      <c r="G221" s="14"/>
      <c r="H221" s="3" t="s">
        <v>53</v>
      </c>
      <c r="I221" s="10" t="s">
        <v>53</v>
      </c>
      <c r="J221" s="15" t="s">
        <v>53</v>
      </c>
      <c r="K221" s="15"/>
      <c r="L221" s="11">
        <v>2482.6799999999998</v>
      </c>
    </row>
    <row r="222" spans="1:12" ht="228" customHeight="1">
      <c r="A222" s="3">
        <v>187</v>
      </c>
      <c r="B222" s="14">
        <v>10903001001</v>
      </c>
      <c r="C222" s="14"/>
      <c r="D222" s="4" t="s">
        <v>334</v>
      </c>
      <c r="E222" s="14" t="s">
        <v>335</v>
      </c>
      <c r="F222" s="14"/>
      <c r="G222" s="14"/>
      <c r="H222" s="3" t="s">
        <v>94</v>
      </c>
      <c r="I222" s="11">
        <v>20.8</v>
      </c>
      <c r="J222" s="16">
        <v>69.98</v>
      </c>
      <c r="K222" s="15"/>
      <c r="L222" s="11">
        <v>1455.58</v>
      </c>
    </row>
    <row r="223" spans="1:12" ht="139" customHeight="1">
      <c r="A223" s="3">
        <v>188</v>
      </c>
      <c r="B223" s="14">
        <v>11001003001</v>
      </c>
      <c r="C223" s="14"/>
      <c r="D223" s="4" t="s">
        <v>336</v>
      </c>
      <c r="E223" s="14" t="s">
        <v>337</v>
      </c>
      <c r="F223" s="14"/>
      <c r="G223" s="14"/>
      <c r="H223" s="3" t="s">
        <v>94</v>
      </c>
      <c r="I223" s="11">
        <v>20.8</v>
      </c>
      <c r="J223" s="16">
        <v>49.38</v>
      </c>
      <c r="K223" s="15"/>
      <c r="L223" s="11">
        <v>1027.0999999999999</v>
      </c>
    </row>
    <row r="224" spans="1:12" ht="36" customHeight="1">
      <c r="A224" s="3" t="s">
        <v>53</v>
      </c>
      <c r="B224" s="14" t="s">
        <v>53</v>
      </c>
      <c r="C224" s="14"/>
      <c r="D224" s="4" t="s">
        <v>338</v>
      </c>
      <c r="E224" s="14" t="s">
        <v>53</v>
      </c>
      <c r="F224" s="14"/>
      <c r="G224" s="14"/>
      <c r="H224" s="3" t="s">
        <v>53</v>
      </c>
      <c r="I224" s="10" t="s">
        <v>53</v>
      </c>
      <c r="J224" s="15" t="s">
        <v>53</v>
      </c>
      <c r="K224" s="15"/>
      <c r="L224" s="11">
        <v>112013.82</v>
      </c>
    </row>
    <row r="225" spans="1:12" ht="125" customHeight="1">
      <c r="A225" s="3">
        <v>189</v>
      </c>
      <c r="B225" s="14">
        <v>11101001001</v>
      </c>
      <c r="C225" s="14"/>
      <c r="D225" s="4" t="s">
        <v>339</v>
      </c>
      <c r="E225" s="14" t="s">
        <v>340</v>
      </c>
      <c r="F225" s="14"/>
      <c r="G225" s="14"/>
      <c r="H225" s="3" t="s">
        <v>94</v>
      </c>
      <c r="I225" s="11">
        <v>543.89</v>
      </c>
      <c r="J225" s="16">
        <v>13.21</v>
      </c>
      <c r="K225" s="15"/>
      <c r="L225" s="11">
        <v>7184.79</v>
      </c>
    </row>
    <row r="226" spans="1:12" ht="125" customHeight="1">
      <c r="A226" s="3">
        <v>190</v>
      </c>
      <c r="B226" s="14">
        <v>10904002001</v>
      </c>
      <c r="C226" s="14"/>
      <c r="D226" s="4" t="s">
        <v>341</v>
      </c>
      <c r="E226" s="14" t="s">
        <v>342</v>
      </c>
      <c r="F226" s="14"/>
      <c r="G226" s="14"/>
      <c r="H226" s="3" t="s">
        <v>94</v>
      </c>
      <c r="I226" s="11">
        <v>558.89</v>
      </c>
      <c r="J226" s="16">
        <v>34.18</v>
      </c>
      <c r="K226" s="15"/>
      <c r="L226" s="11">
        <v>19102.86</v>
      </c>
    </row>
    <row r="227" spans="1:12" ht="139" customHeight="1">
      <c r="A227" s="3">
        <v>191</v>
      </c>
      <c r="B227" s="14">
        <v>10904003001</v>
      </c>
      <c r="C227" s="14"/>
      <c r="D227" s="4" t="s">
        <v>343</v>
      </c>
      <c r="E227" s="14" t="s">
        <v>344</v>
      </c>
      <c r="F227" s="14"/>
      <c r="G227" s="14"/>
      <c r="H227" s="3" t="s">
        <v>94</v>
      </c>
      <c r="I227" s="11">
        <v>558.89</v>
      </c>
      <c r="J227" s="16">
        <v>20.89</v>
      </c>
      <c r="K227" s="15"/>
      <c r="L227" s="11">
        <v>11675.21</v>
      </c>
    </row>
    <row r="228" spans="1:12" ht="125" customHeight="1">
      <c r="A228" s="3">
        <v>192</v>
      </c>
      <c r="B228" s="14">
        <v>11201001001</v>
      </c>
      <c r="C228" s="14"/>
      <c r="D228" s="4" t="s">
        <v>345</v>
      </c>
      <c r="E228" s="14" t="s">
        <v>340</v>
      </c>
      <c r="F228" s="14"/>
      <c r="G228" s="14"/>
      <c r="H228" s="3" t="s">
        <v>94</v>
      </c>
      <c r="I228" s="11">
        <v>785.27</v>
      </c>
      <c r="J228" s="16">
        <v>18.829999999999998</v>
      </c>
      <c r="K228" s="15"/>
      <c r="L228" s="11">
        <v>14786.63</v>
      </c>
    </row>
    <row r="229" spans="1:12" ht="125" customHeight="1">
      <c r="A229" s="3">
        <v>193</v>
      </c>
      <c r="B229" s="14">
        <v>10903002001</v>
      </c>
      <c r="C229" s="14"/>
      <c r="D229" s="4" t="s">
        <v>346</v>
      </c>
      <c r="E229" s="14" t="s">
        <v>342</v>
      </c>
      <c r="F229" s="14"/>
      <c r="G229" s="14"/>
      <c r="H229" s="3" t="s">
        <v>94</v>
      </c>
      <c r="I229" s="11">
        <v>785.27</v>
      </c>
      <c r="J229" s="16">
        <v>38.25</v>
      </c>
      <c r="K229" s="15"/>
      <c r="L229" s="11">
        <v>30036.58</v>
      </c>
    </row>
    <row r="230" spans="1:12" ht="139" customHeight="1">
      <c r="A230" s="3">
        <v>194</v>
      </c>
      <c r="B230" s="14">
        <v>10903003001</v>
      </c>
      <c r="C230" s="14"/>
      <c r="D230" s="4" t="s">
        <v>347</v>
      </c>
      <c r="E230" s="14" t="s">
        <v>344</v>
      </c>
      <c r="F230" s="14"/>
      <c r="G230" s="14"/>
      <c r="H230" s="3" t="s">
        <v>94</v>
      </c>
      <c r="I230" s="11">
        <v>785.27</v>
      </c>
      <c r="J230" s="16">
        <v>37.22</v>
      </c>
      <c r="K230" s="15"/>
      <c r="L230" s="11">
        <v>29227.75</v>
      </c>
    </row>
    <row r="231" spans="1:12" ht="23" customHeight="1">
      <c r="A231" s="3" t="s">
        <v>53</v>
      </c>
      <c r="B231" s="14" t="s">
        <v>53</v>
      </c>
      <c r="C231" s="14"/>
      <c r="D231" s="4" t="s">
        <v>28</v>
      </c>
      <c r="E231" s="14" t="s">
        <v>53</v>
      </c>
      <c r="F231" s="14"/>
      <c r="G231" s="14"/>
      <c r="H231" s="3" t="s">
        <v>53</v>
      </c>
      <c r="I231" s="10" t="s">
        <v>53</v>
      </c>
      <c r="J231" s="15" t="s">
        <v>53</v>
      </c>
      <c r="K231" s="15"/>
      <c r="L231" s="11">
        <v>5531685.29</v>
      </c>
    </row>
    <row r="232" spans="1:12" ht="66" customHeight="1">
      <c r="A232" s="3" t="s">
        <v>53</v>
      </c>
      <c r="B232" s="14" t="s">
        <v>53</v>
      </c>
      <c r="C232" s="14"/>
      <c r="D232" s="4" t="s">
        <v>348</v>
      </c>
      <c r="E232" s="14" t="s">
        <v>53</v>
      </c>
      <c r="F232" s="14"/>
      <c r="G232" s="14"/>
      <c r="H232" s="3" t="s">
        <v>53</v>
      </c>
      <c r="I232" s="10" t="s">
        <v>53</v>
      </c>
      <c r="J232" s="15" t="s">
        <v>53</v>
      </c>
      <c r="K232" s="15"/>
      <c r="L232" s="11">
        <v>150819.73000000001</v>
      </c>
    </row>
    <row r="233" spans="1:12" ht="154" customHeight="1">
      <c r="A233" s="3">
        <v>195</v>
      </c>
      <c r="B233" s="14">
        <v>10501001002</v>
      </c>
      <c r="C233" s="14"/>
      <c r="D233" s="4" t="s">
        <v>349</v>
      </c>
      <c r="E233" s="14" t="s">
        <v>350</v>
      </c>
      <c r="F233" s="14"/>
      <c r="G233" s="14"/>
      <c r="H233" s="3" t="s">
        <v>94</v>
      </c>
      <c r="I233" s="11">
        <v>614.54999999999995</v>
      </c>
      <c r="J233" s="16">
        <v>47.29</v>
      </c>
      <c r="K233" s="15"/>
      <c r="L233" s="11">
        <v>29062.07</v>
      </c>
    </row>
    <row r="234" spans="1:12" ht="273" customHeight="1">
      <c r="A234" s="3">
        <v>196</v>
      </c>
      <c r="B234" s="14">
        <v>11102003001</v>
      </c>
      <c r="C234" s="14"/>
      <c r="D234" s="4" t="s">
        <v>351</v>
      </c>
      <c r="E234" s="14" t="s">
        <v>352</v>
      </c>
      <c r="F234" s="14"/>
      <c r="G234" s="14"/>
      <c r="H234" s="3" t="s">
        <v>94</v>
      </c>
      <c r="I234" s="11">
        <v>901.91</v>
      </c>
      <c r="J234" s="16">
        <v>93.69</v>
      </c>
      <c r="K234" s="15"/>
      <c r="L234" s="11">
        <v>84499.95</v>
      </c>
    </row>
    <row r="235" spans="1:12" ht="273" customHeight="1">
      <c r="A235" s="3">
        <v>197</v>
      </c>
      <c r="B235" s="14">
        <v>11102003002</v>
      </c>
      <c r="C235" s="14"/>
      <c r="D235" s="4" t="s">
        <v>353</v>
      </c>
      <c r="E235" s="14" t="s">
        <v>354</v>
      </c>
      <c r="F235" s="14"/>
      <c r="G235" s="14"/>
      <c r="H235" s="3" t="s">
        <v>94</v>
      </c>
      <c r="I235" s="11">
        <v>122.91</v>
      </c>
      <c r="J235" s="16">
        <v>91.54</v>
      </c>
      <c r="K235" s="15"/>
      <c r="L235" s="11">
        <v>11251.18</v>
      </c>
    </row>
    <row r="236" spans="1:12" ht="273" customHeight="1">
      <c r="A236" s="3">
        <v>198</v>
      </c>
      <c r="B236" s="14">
        <v>11106003001</v>
      </c>
      <c r="C236" s="14"/>
      <c r="D236" s="4" t="s">
        <v>355</v>
      </c>
      <c r="E236" s="14" t="s">
        <v>354</v>
      </c>
      <c r="F236" s="14"/>
      <c r="G236" s="14"/>
      <c r="H236" s="3" t="s">
        <v>94</v>
      </c>
      <c r="I236" s="11">
        <v>122.91</v>
      </c>
      <c r="J236" s="16">
        <v>211.59</v>
      </c>
      <c r="K236" s="15"/>
      <c r="L236" s="11">
        <v>26006.53</v>
      </c>
    </row>
    <row r="237" spans="1:12" ht="36" customHeight="1">
      <c r="A237" s="3" t="s">
        <v>53</v>
      </c>
      <c r="B237" s="14" t="s">
        <v>53</v>
      </c>
      <c r="C237" s="14"/>
      <c r="D237" s="4" t="s">
        <v>356</v>
      </c>
      <c r="E237" s="14" t="s">
        <v>53</v>
      </c>
      <c r="F237" s="14"/>
      <c r="G237" s="14"/>
      <c r="H237" s="3" t="s">
        <v>53</v>
      </c>
      <c r="I237" s="10" t="s">
        <v>53</v>
      </c>
      <c r="J237" s="15" t="s">
        <v>53</v>
      </c>
      <c r="K237" s="15"/>
      <c r="L237" s="11">
        <v>52740.95</v>
      </c>
    </row>
    <row r="238" spans="1:12" ht="183" customHeight="1">
      <c r="A238" s="3">
        <v>199</v>
      </c>
      <c r="B238" s="14">
        <v>11101002001</v>
      </c>
      <c r="C238" s="14"/>
      <c r="D238" s="4" t="s">
        <v>357</v>
      </c>
      <c r="E238" s="14" t="s">
        <v>358</v>
      </c>
      <c r="F238" s="14"/>
      <c r="G238" s="14"/>
      <c r="H238" s="3" t="s">
        <v>94</v>
      </c>
      <c r="I238" s="11">
        <v>143.62</v>
      </c>
      <c r="J238" s="16">
        <v>34.26</v>
      </c>
      <c r="K238" s="15"/>
      <c r="L238" s="11">
        <v>4920.42</v>
      </c>
    </row>
    <row r="239" spans="1:12" ht="273" customHeight="1">
      <c r="A239" s="3">
        <v>200</v>
      </c>
      <c r="B239" s="14">
        <v>10904002002</v>
      </c>
      <c r="C239" s="14"/>
      <c r="D239" s="4" t="s">
        <v>359</v>
      </c>
      <c r="E239" s="14" t="s">
        <v>360</v>
      </c>
      <c r="F239" s="14"/>
      <c r="G239" s="14"/>
      <c r="H239" s="3" t="s">
        <v>94</v>
      </c>
      <c r="I239" s="11">
        <v>143.62</v>
      </c>
      <c r="J239" s="16">
        <v>32.18</v>
      </c>
      <c r="K239" s="15"/>
      <c r="L239" s="11">
        <v>4621.6899999999996</v>
      </c>
    </row>
    <row r="240" spans="1:12" ht="125" customHeight="1">
      <c r="A240" s="3">
        <v>201</v>
      </c>
      <c r="B240" s="14">
        <v>11101001002</v>
      </c>
      <c r="C240" s="14"/>
      <c r="D240" s="4" t="s">
        <v>361</v>
      </c>
      <c r="E240" s="14" t="s">
        <v>362</v>
      </c>
      <c r="F240" s="14"/>
      <c r="G240" s="14"/>
      <c r="H240" s="3" t="s">
        <v>94</v>
      </c>
      <c r="I240" s="11">
        <v>143.62</v>
      </c>
      <c r="J240" s="16">
        <v>13.1</v>
      </c>
      <c r="K240" s="15"/>
      <c r="L240" s="11">
        <v>1881.42</v>
      </c>
    </row>
    <row r="241" spans="1:12" ht="110" customHeight="1">
      <c r="A241" s="3">
        <v>202</v>
      </c>
      <c r="B241" s="14">
        <v>11201001002</v>
      </c>
      <c r="C241" s="14"/>
      <c r="D241" s="4" t="s">
        <v>363</v>
      </c>
      <c r="E241" s="14" t="s">
        <v>364</v>
      </c>
      <c r="F241" s="14"/>
      <c r="G241" s="14"/>
      <c r="H241" s="3" t="s">
        <v>94</v>
      </c>
      <c r="I241" s="11">
        <v>99.2</v>
      </c>
      <c r="J241" s="16">
        <v>14.02</v>
      </c>
      <c r="K241" s="15"/>
      <c r="L241" s="11">
        <v>1390.78</v>
      </c>
    </row>
    <row r="242" spans="1:12" ht="154" customHeight="1">
      <c r="A242" s="3">
        <v>203</v>
      </c>
      <c r="B242" s="14">
        <v>10501001003</v>
      </c>
      <c r="C242" s="14"/>
      <c r="D242" s="4" t="s">
        <v>365</v>
      </c>
      <c r="E242" s="14" t="s">
        <v>366</v>
      </c>
      <c r="F242" s="14"/>
      <c r="G242" s="14"/>
      <c r="H242" s="3" t="s">
        <v>79</v>
      </c>
      <c r="I242" s="11">
        <v>57.448</v>
      </c>
      <c r="J242" s="16">
        <v>305.43</v>
      </c>
      <c r="K242" s="15"/>
      <c r="L242" s="11">
        <v>17546.34</v>
      </c>
    </row>
    <row r="243" spans="1:12" ht="154" customHeight="1">
      <c r="A243" s="3">
        <v>204</v>
      </c>
      <c r="B243" s="14">
        <v>11101002002</v>
      </c>
      <c r="C243" s="14"/>
      <c r="D243" s="4" t="s">
        <v>357</v>
      </c>
      <c r="E243" s="14" t="s">
        <v>367</v>
      </c>
      <c r="F243" s="14"/>
      <c r="G243" s="14"/>
      <c r="H243" s="3" t="s">
        <v>94</v>
      </c>
      <c r="I243" s="11">
        <v>143.62</v>
      </c>
      <c r="J243" s="16">
        <v>36.659999999999997</v>
      </c>
      <c r="K243" s="15"/>
      <c r="L243" s="11">
        <v>5265.11</v>
      </c>
    </row>
    <row r="244" spans="1:12" ht="288" customHeight="1">
      <c r="A244" s="3">
        <v>205</v>
      </c>
      <c r="B244" s="14">
        <v>10904002003</v>
      </c>
      <c r="C244" s="14"/>
      <c r="D244" s="4" t="s">
        <v>359</v>
      </c>
      <c r="E244" s="14" t="s">
        <v>368</v>
      </c>
      <c r="F244" s="14"/>
      <c r="G244" s="14"/>
      <c r="H244" s="3" t="s">
        <v>94</v>
      </c>
      <c r="I244" s="11">
        <v>143.62</v>
      </c>
      <c r="J244" s="16">
        <v>34.18</v>
      </c>
      <c r="K244" s="15"/>
      <c r="L244" s="11">
        <v>4908.93</v>
      </c>
    </row>
    <row r="245" spans="1:12" ht="154" customHeight="1">
      <c r="A245" s="3">
        <v>206</v>
      </c>
      <c r="B245" s="14">
        <v>11102003003</v>
      </c>
      <c r="C245" s="14"/>
      <c r="D245" s="4" t="s">
        <v>351</v>
      </c>
      <c r="E245" s="14" t="s">
        <v>369</v>
      </c>
      <c r="F245" s="14"/>
      <c r="G245" s="14"/>
      <c r="H245" s="3" t="s">
        <v>94</v>
      </c>
      <c r="I245" s="11">
        <v>143.62</v>
      </c>
      <c r="J245" s="16">
        <v>84.99</v>
      </c>
      <c r="K245" s="15"/>
      <c r="L245" s="11">
        <v>12206.26</v>
      </c>
    </row>
    <row r="246" spans="1:12" ht="66" customHeight="1">
      <c r="A246" s="3" t="s">
        <v>53</v>
      </c>
      <c r="B246" s="14" t="s">
        <v>53</v>
      </c>
      <c r="C246" s="14"/>
      <c r="D246" s="4" t="s">
        <v>370</v>
      </c>
      <c r="E246" s="14" t="s">
        <v>53</v>
      </c>
      <c r="F246" s="14"/>
      <c r="G246" s="14"/>
      <c r="H246" s="3" t="s">
        <v>53</v>
      </c>
      <c r="I246" s="10" t="s">
        <v>53</v>
      </c>
      <c r="J246" s="15" t="s">
        <v>53</v>
      </c>
      <c r="K246" s="15"/>
      <c r="L246" s="11">
        <v>30495.56</v>
      </c>
    </row>
    <row r="247" spans="1:12" ht="154" customHeight="1">
      <c r="A247" s="3">
        <v>207</v>
      </c>
      <c r="B247" s="14">
        <v>10501001004</v>
      </c>
      <c r="C247" s="14"/>
      <c r="D247" s="4" t="s">
        <v>349</v>
      </c>
      <c r="E247" s="14" t="s">
        <v>350</v>
      </c>
      <c r="F247" s="14"/>
      <c r="G247" s="14"/>
      <c r="H247" s="3" t="s">
        <v>94</v>
      </c>
      <c r="I247" s="11">
        <v>150.38</v>
      </c>
      <c r="J247" s="16">
        <v>47.29</v>
      </c>
      <c r="K247" s="15"/>
      <c r="L247" s="11">
        <v>7111.47</v>
      </c>
    </row>
    <row r="248" spans="1:12" ht="273" customHeight="1">
      <c r="A248" s="3">
        <v>208</v>
      </c>
      <c r="B248" s="14">
        <v>10904002004</v>
      </c>
      <c r="C248" s="14"/>
      <c r="D248" s="4" t="s">
        <v>359</v>
      </c>
      <c r="E248" s="14" t="s">
        <v>371</v>
      </c>
      <c r="F248" s="14"/>
      <c r="G248" s="14"/>
      <c r="H248" s="3" t="s">
        <v>94</v>
      </c>
      <c r="I248" s="11">
        <v>150.38</v>
      </c>
      <c r="J248" s="16">
        <v>34.18</v>
      </c>
      <c r="K248" s="15"/>
      <c r="L248" s="11">
        <v>5139.99</v>
      </c>
    </row>
    <row r="249" spans="1:12" ht="273" customHeight="1">
      <c r="A249" s="3">
        <v>209</v>
      </c>
      <c r="B249" s="14">
        <v>10904002005</v>
      </c>
      <c r="C249" s="14"/>
      <c r="D249" s="4" t="s">
        <v>359</v>
      </c>
      <c r="E249" s="14" t="s">
        <v>371</v>
      </c>
      <c r="F249" s="14"/>
      <c r="G249" s="14"/>
      <c r="H249" s="3" t="s">
        <v>94</v>
      </c>
      <c r="I249" s="11">
        <v>150.38</v>
      </c>
      <c r="J249" s="16">
        <v>34.18</v>
      </c>
      <c r="K249" s="15"/>
      <c r="L249" s="11">
        <v>5139.99</v>
      </c>
    </row>
    <row r="250" spans="1:12" ht="154" customHeight="1">
      <c r="A250" s="3">
        <v>210</v>
      </c>
      <c r="B250" s="14">
        <v>11102003004</v>
      </c>
      <c r="C250" s="14"/>
      <c r="D250" s="4" t="s">
        <v>351</v>
      </c>
      <c r="E250" s="14" t="s">
        <v>372</v>
      </c>
      <c r="F250" s="14"/>
      <c r="G250" s="14"/>
      <c r="H250" s="3" t="s">
        <v>94</v>
      </c>
      <c r="I250" s="11">
        <v>150.38</v>
      </c>
      <c r="J250" s="16">
        <v>87.14</v>
      </c>
      <c r="K250" s="15"/>
      <c r="L250" s="11">
        <v>13104.11</v>
      </c>
    </row>
    <row r="251" spans="1:12" ht="66" customHeight="1">
      <c r="A251" s="3" t="s">
        <v>53</v>
      </c>
      <c r="B251" s="14" t="s">
        <v>53</v>
      </c>
      <c r="C251" s="14"/>
      <c r="D251" s="4" t="s">
        <v>373</v>
      </c>
      <c r="E251" s="14" t="s">
        <v>53</v>
      </c>
      <c r="F251" s="14"/>
      <c r="G251" s="14"/>
      <c r="H251" s="3" t="s">
        <v>53</v>
      </c>
      <c r="I251" s="10" t="s">
        <v>53</v>
      </c>
      <c r="J251" s="15" t="s">
        <v>53</v>
      </c>
      <c r="K251" s="15"/>
      <c r="L251" s="11">
        <v>31360.31</v>
      </c>
    </row>
    <row r="252" spans="1:12" ht="183" customHeight="1">
      <c r="A252" s="3">
        <v>211</v>
      </c>
      <c r="B252" s="14">
        <v>11101002003</v>
      </c>
      <c r="C252" s="14"/>
      <c r="D252" s="4" t="s">
        <v>357</v>
      </c>
      <c r="E252" s="14" t="s">
        <v>374</v>
      </c>
      <c r="F252" s="14"/>
      <c r="G252" s="14"/>
      <c r="H252" s="3" t="s">
        <v>94</v>
      </c>
      <c r="I252" s="11">
        <v>158.84</v>
      </c>
      <c r="J252" s="16">
        <v>38.06</v>
      </c>
      <c r="K252" s="15"/>
      <c r="L252" s="11">
        <v>6045.45</v>
      </c>
    </row>
    <row r="253" spans="1:12" ht="273" customHeight="1">
      <c r="A253" s="3">
        <v>212</v>
      </c>
      <c r="B253" s="14">
        <v>10904002006</v>
      </c>
      <c r="C253" s="14"/>
      <c r="D253" s="4" t="s">
        <v>359</v>
      </c>
      <c r="E253" s="14" t="s">
        <v>371</v>
      </c>
      <c r="F253" s="14"/>
      <c r="G253" s="14"/>
      <c r="H253" s="3" t="s">
        <v>94</v>
      </c>
      <c r="I253" s="11">
        <v>167.84</v>
      </c>
      <c r="J253" s="16">
        <v>34.18</v>
      </c>
      <c r="K253" s="15"/>
      <c r="L253" s="11">
        <v>5736.77</v>
      </c>
    </row>
    <row r="254" spans="1:12" ht="273" customHeight="1">
      <c r="A254" s="3">
        <v>213</v>
      </c>
      <c r="B254" s="14">
        <v>10904002007</v>
      </c>
      <c r="C254" s="14"/>
      <c r="D254" s="4" t="s">
        <v>359</v>
      </c>
      <c r="E254" s="14" t="s">
        <v>371</v>
      </c>
      <c r="F254" s="14"/>
      <c r="G254" s="14"/>
      <c r="H254" s="3" t="s">
        <v>94</v>
      </c>
      <c r="I254" s="11">
        <v>167.84</v>
      </c>
      <c r="J254" s="16">
        <v>34.18</v>
      </c>
      <c r="K254" s="15"/>
      <c r="L254" s="11">
        <v>5736.77</v>
      </c>
    </row>
    <row r="255" spans="1:12" ht="154" customHeight="1">
      <c r="A255" s="3">
        <v>214</v>
      </c>
      <c r="B255" s="14">
        <v>11102003005</v>
      </c>
      <c r="C255" s="14"/>
      <c r="D255" s="4" t="s">
        <v>351</v>
      </c>
      <c r="E255" s="14" t="s">
        <v>372</v>
      </c>
      <c r="F255" s="14"/>
      <c r="G255" s="14"/>
      <c r="H255" s="3" t="s">
        <v>94</v>
      </c>
      <c r="I255" s="11">
        <v>158.84</v>
      </c>
      <c r="J255" s="16">
        <v>87.14</v>
      </c>
      <c r="K255" s="15"/>
      <c r="L255" s="11">
        <v>13841.32</v>
      </c>
    </row>
    <row r="256" spans="1:12" ht="51" customHeight="1">
      <c r="A256" s="3" t="s">
        <v>53</v>
      </c>
      <c r="B256" s="14" t="s">
        <v>53</v>
      </c>
      <c r="C256" s="14"/>
      <c r="D256" s="4" t="s">
        <v>375</v>
      </c>
      <c r="E256" s="14" t="s">
        <v>53</v>
      </c>
      <c r="F256" s="14"/>
      <c r="G256" s="14"/>
      <c r="H256" s="3" t="s">
        <v>53</v>
      </c>
      <c r="I256" s="10" t="s">
        <v>53</v>
      </c>
      <c r="J256" s="15" t="s">
        <v>53</v>
      </c>
      <c r="K256" s="15"/>
      <c r="L256" s="11">
        <v>2015121.57</v>
      </c>
    </row>
    <row r="257" spans="1:12" ht="125" customHeight="1">
      <c r="A257" s="3">
        <v>215</v>
      </c>
      <c r="B257" s="14">
        <v>10501001005</v>
      </c>
      <c r="C257" s="14"/>
      <c r="D257" s="4" t="s">
        <v>349</v>
      </c>
      <c r="E257" s="14" t="s">
        <v>376</v>
      </c>
      <c r="F257" s="14"/>
      <c r="G257" s="14"/>
      <c r="H257" s="3" t="s">
        <v>94</v>
      </c>
      <c r="I257" s="11">
        <v>8901.5</v>
      </c>
      <c r="J257" s="16">
        <v>85.1</v>
      </c>
      <c r="K257" s="15"/>
      <c r="L257" s="11">
        <v>757517.65</v>
      </c>
    </row>
    <row r="258" spans="1:12" ht="154" customHeight="1">
      <c r="A258" s="3">
        <v>216</v>
      </c>
      <c r="B258" s="14">
        <v>10501001006</v>
      </c>
      <c r="C258" s="14"/>
      <c r="D258" s="4" t="s">
        <v>377</v>
      </c>
      <c r="E258" s="14" t="s">
        <v>378</v>
      </c>
      <c r="F258" s="14"/>
      <c r="G258" s="14"/>
      <c r="H258" s="3" t="s">
        <v>94</v>
      </c>
      <c r="I258" s="11">
        <v>8901.5</v>
      </c>
      <c r="J258" s="16">
        <v>108.78</v>
      </c>
      <c r="K258" s="15"/>
      <c r="L258" s="11">
        <v>968305.17</v>
      </c>
    </row>
    <row r="259" spans="1:12" ht="169" customHeight="1">
      <c r="A259" s="3">
        <v>217</v>
      </c>
      <c r="B259" s="14">
        <v>11101001003</v>
      </c>
      <c r="C259" s="14"/>
      <c r="D259" s="4" t="s">
        <v>379</v>
      </c>
      <c r="E259" s="14" t="s">
        <v>380</v>
      </c>
      <c r="F259" s="14"/>
      <c r="G259" s="14"/>
      <c r="H259" s="3" t="s">
        <v>94</v>
      </c>
      <c r="I259" s="11">
        <v>8901.5</v>
      </c>
      <c r="J259" s="16">
        <v>14.14</v>
      </c>
      <c r="K259" s="15"/>
      <c r="L259" s="11">
        <v>125867.21</v>
      </c>
    </row>
    <row r="260" spans="1:12" ht="288" customHeight="1">
      <c r="A260" s="3">
        <v>218</v>
      </c>
      <c r="B260" s="14">
        <v>11101001004</v>
      </c>
      <c r="C260" s="14"/>
      <c r="D260" s="4" t="s">
        <v>381</v>
      </c>
      <c r="E260" s="14" t="s">
        <v>382</v>
      </c>
      <c r="F260" s="14"/>
      <c r="G260" s="14"/>
      <c r="H260" s="3" t="s">
        <v>94</v>
      </c>
      <c r="I260" s="11">
        <v>8901.5</v>
      </c>
      <c r="J260" s="16">
        <v>18.36</v>
      </c>
      <c r="K260" s="15"/>
      <c r="L260" s="11">
        <v>163431.54</v>
      </c>
    </row>
    <row r="261" spans="1:12" ht="51" customHeight="1">
      <c r="A261" s="3" t="s">
        <v>53</v>
      </c>
      <c r="B261" s="14" t="s">
        <v>53</v>
      </c>
      <c r="C261" s="14"/>
      <c r="D261" s="4" t="s">
        <v>383</v>
      </c>
      <c r="E261" s="14" t="s">
        <v>53</v>
      </c>
      <c r="F261" s="14"/>
      <c r="G261" s="14"/>
      <c r="H261" s="3" t="s">
        <v>53</v>
      </c>
      <c r="I261" s="10" t="s">
        <v>53</v>
      </c>
      <c r="J261" s="15" t="s">
        <v>53</v>
      </c>
      <c r="K261" s="15"/>
      <c r="L261" s="11">
        <v>1205.8800000000001</v>
      </c>
    </row>
    <row r="262" spans="1:12" ht="154" customHeight="1">
      <c r="A262" s="3">
        <v>219</v>
      </c>
      <c r="B262" s="14">
        <v>10501001007</v>
      </c>
      <c r="C262" s="14"/>
      <c r="D262" s="4" t="s">
        <v>349</v>
      </c>
      <c r="E262" s="14" t="s">
        <v>350</v>
      </c>
      <c r="F262" s="14"/>
      <c r="G262" s="14"/>
      <c r="H262" s="3" t="s">
        <v>94</v>
      </c>
      <c r="I262" s="11">
        <v>8.5299999999999994</v>
      </c>
      <c r="J262" s="16">
        <v>47.29</v>
      </c>
      <c r="K262" s="15"/>
      <c r="L262" s="11">
        <v>403.38</v>
      </c>
    </row>
    <row r="263" spans="1:12" ht="154" customHeight="1">
      <c r="A263" s="3">
        <v>220</v>
      </c>
      <c r="B263" s="14">
        <v>11101002004</v>
      </c>
      <c r="C263" s="14"/>
      <c r="D263" s="4" t="s">
        <v>357</v>
      </c>
      <c r="E263" s="14" t="s">
        <v>384</v>
      </c>
      <c r="F263" s="14"/>
      <c r="G263" s="14"/>
      <c r="H263" s="3" t="s">
        <v>94</v>
      </c>
      <c r="I263" s="11">
        <v>8.5299999999999994</v>
      </c>
      <c r="J263" s="16">
        <v>38.06</v>
      </c>
      <c r="K263" s="15"/>
      <c r="L263" s="11">
        <v>324.64999999999998</v>
      </c>
    </row>
    <row r="264" spans="1:12" ht="110" customHeight="1">
      <c r="A264" s="3">
        <v>221</v>
      </c>
      <c r="B264" s="14">
        <v>11101001005</v>
      </c>
      <c r="C264" s="14"/>
      <c r="D264" s="4" t="s">
        <v>381</v>
      </c>
      <c r="E264" s="14" t="s">
        <v>385</v>
      </c>
      <c r="F264" s="14"/>
      <c r="G264" s="14"/>
      <c r="H264" s="3" t="s">
        <v>94</v>
      </c>
      <c r="I264" s="11">
        <v>8.5299999999999994</v>
      </c>
      <c r="J264" s="16">
        <v>18.36</v>
      </c>
      <c r="K264" s="15"/>
      <c r="L264" s="11">
        <v>156.61000000000001</v>
      </c>
    </row>
    <row r="265" spans="1:12" ht="23" customHeight="1">
      <c r="A265" s="3">
        <v>222</v>
      </c>
      <c r="B265" s="14">
        <v>10101003001</v>
      </c>
      <c r="C265" s="14"/>
      <c r="D265" s="4" t="s">
        <v>386</v>
      </c>
      <c r="E265" s="14" t="s">
        <v>387</v>
      </c>
      <c r="F265" s="14"/>
      <c r="G265" s="14"/>
      <c r="H265" s="3" t="s">
        <v>79</v>
      </c>
      <c r="I265" s="11">
        <v>1.706</v>
      </c>
      <c r="J265" s="16">
        <v>188.3</v>
      </c>
      <c r="K265" s="15"/>
      <c r="L265" s="11">
        <v>321.24</v>
      </c>
    </row>
    <row r="266" spans="1:12" ht="110" customHeight="1">
      <c r="A266" s="3" t="s">
        <v>53</v>
      </c>
      <c r="B266" s="14" t="s">
        <v>53</v>
      </c>
      <c r="C266" s="14"/>
      <c r="D266" s="4" t="s">
        <v>388</v>
      </c>
      <c r="E266" s="14" t="s">
        <v>53</v>
      </c>
      <c r="F266" s="14"/>
      <c r="G266" s="14"/>
      <c r="H266" s="3" t="s">
        <v>53</v>
      </c>
      <c r="I266" s="10" t="s">
        <v>53</v>
      </c>
      <c r="J266" s="15" t="s">
        <v>53</v>
      </c>
      <c r="K266" s="15"/>
      <c r="L266" s="11">
        <v>37459.300000000003</v>
      </c>
    </row>
    <row r="267" spans="1:12" ht="154" customHeight="1">
      <c r="A267" s="3">
        <v>223</v>
      </c>
      <c r="B267" s="14">
        <v>10501001008</v>
      </c>
      <c r="C267" s="14"/>
      <c r="D267" s="4" t="s">
        <v>349</v>
      </c>
      <c r="E267" s="14" t="s">
        <v>350</v>
      </c>
      <c r="F267" s="14"/>
      <c r="G267" s="14"/>
      <c r="H267" s="3" t="s">
        <v>94</v>
      </c>
      <c r="I267" s="11">
        <v>562.03</v>
      </c>
      <c r="J267" s="16">
        <v>47.29</v>
      </c>
      <c r="K267" s="15"/>
      <c r="L267" s="11">
        <v>26578.400000000001</v>
      </c>
    </row>
    <row r="268" spans="1:12" ht="169" customHeight="1">
      <c r="A268" s="3">
        <v>224</v>
      </c>
      <c r="B268" s="14">
        <v>11101003001</v>
      </c>
      <c r="C268" s="14"/>
      <c r="D268" s="4" t="s">
        <v>389</v>
      </c>
      <c r="E268" s="14" t="s">
        <v>390</v>
      </c>
      <c r="F268" s="14"/>
      <c r="G268" s="14"/>
      <c r="H268" s="3" t="s">
        <v>94</v>
      </c>
      <c r="I268" s="11">
        <v>562.03</v>
      </c>
      <c r="J268" s="16">
        <v>19.36</v>
      </c>
      <c r="K268" s="15"/>
      <c r="L268" s="11">
        <v>10880.9</v>
      </c>
    </row>
    <row r="269" spans="1:12" ht="51" customHeight="1">
      <c r="A269" s="3" t="s">
        <v>53</v>
      </c>
      <c r="B269" s="14" t="s">
        <v>53</v>
      </c>
      <c r="C269" s="14"/>
      <c r="D269" s="4" t="s">
        <v>391</v>
      </c>
      <c r="E269" s="14" t="s">
        <v>53</v>
      </c>
      <c r="F269" s="14"/>
      <c r="G269" s="14"/>
      <c r="H269" s="3" t="s">
        <v>53</v>
      </c>
      <c r="I269" s="10" t="s">
        <v>53</v>
      </c>
      <c r="J269" s="15" t="s">
        <v>53</v>
      </c>
      <c r="K269" s="15"/>
      <c r="L269" s="11">
        <v>44922.9</v>
      </c>
    </row>
    <row r="270" spans="1:12" ht="154" customHeight="1">
      <c r="A270" s="3">
        <v>225</v>
      </c>
      <c r="B270" s="14">
        <v>10501001009</v>
      </c>
      <c r="C270" s="14"/>
      <c r="D270" s="4" t="s">
        <v>349</v>
      </c>
      <c r="E270" s="14" t="s">
        <v>350</v>
      </c>
      <c r="F270" s="14"/>
      <c r="G270" s="14"/>
      <c r="H270" s="3" t="s">
        <v>94</v>
      </c>
      <c r="I270" s="11">
        <v>330</v>
      </c>
      <c r="J270" s="16">
        <v>47.29</v>
      </c>
      <c r="K270" s="15"/>
      <c r="L270" s="11">
        <v>15605.7</v>
      </c>
    </row>
    <row r="271" spans="1:12" ht="198" customHeight="1">
      <c r="A271" s="3">
        <v>226</v>
      </c>
      <c r="B271" s="14">
        <v>11101002005</v>
      </c>
      <c r="C271" s="14"/>
      <c r="D271" s="4" t="s">
        <v>357</v>
      </c>
      <c r="E271" s="14" t="s">
        <v>392</v>
      </c>
      <c r="F271" s="14"/>
      <c r="G271" s="14"/>
      <c r="H271" s="3" t="s">
        <v>94</v>
      </c>
      <c r="I271" s="11">
        <v>330</v>
      </c>
      <c r="J271" s="16">
        <v>69.48</v>
      </c>
      <c r="K271" s="15"/>
      <c r="L271" s="11">
        <v>22928.400000000001</v>
      </c>
    </row>
    <row r="272" spans="1:12" ht="169" customHeight="1">
      <c r="A272" s="3">
        <v>227</v>
      </c>
      <c r="B272" s="14">
        <v>11101003002</v>
      </c>
      <c r="C272" s="14"/>
      <c r="D272" s="4" t="s">
        <v>389</v>
      </c>
      <c r="E272" s="14" t="s">
        <v>390</v>
      </c>
      <c r="F272" s="14"/>
      <c r="G272" s="14"/>
      <c r="H272" s="3" t="s">
        <v>94</v>
      </c>
      <c r="I272" s="11">
        <v>330</v>
      </c>
      <c r="J272" s="16">
        <v>19.36</v>
      </c>
      <c r="K272" s="15"/>
      <c r="L272" s="11">
        <v>6388.8</v>
      </c>
    </row>
    <row r="273" spans="1:12" ht="36" customHeight="1">
      <c r="A273" s="3" t="s">
        <v>53</v>
      </c>
      <c r="B273" s="14" t="s">
        <v>53</v>
      </c>
      <c r="C273" s="14"/>
      <c r="D273" s="4" t="s">
        <v>393</v>
      </c>
      <c r="E273" s="14" t="s">
        <v>53</v>
      </c>
      <c r="F273" s="14"/>
      <c r="G273" s="14"/>
      <c r="H273" s="3" t="s">
        <v>53</v>
      </c>
      <c r="I273" s="10" t="s">
        <v>53</v>
      </c>
      <c r="J273" s="15" t="s">
        <v>53</v>
      </c>
      <c r="K273" s="15"/>
      <c r="L273" s="11">
        <v>609.1</v>
      </c>
    </row>
    <row r="274" spans="1:12" ht="154" customHeight="1">
      <c r="A274" s="3">
        <v>228</v>
      </c>
      <c r="B274" s="14">
        <v>10501001010</v>
      </c>
      <c r="C274" s="14"/>
      <c r="D274" s="4" t="s">
        <v>349</v>
      </c>
      <c r="E274" s="14" t="s">
        <v>350</v>
      </c>
      <c r="F274" s="14"/>
      <c r="G274" s="14"/>
      <c r="H274" s="3" t="s">
        <v>94</v>
      </c>
      <c r="I274" s="11">
        <v>12.88</v>
      </c>
      <c r="J274" s="16">
        <v>47.29</v>
      </c>
      <c r="K274" s="15"/>
      <c r="L274" s="11">
        <v>609.1</v>
      </c>
    </row>
    <row r="275" spans="1:12" ht="36" customHeight="1">
      <c r="A275" s="3" t="s">
        <v>53</v>
      </c>
      <c r="B275" s="14" t="s">
        <v>53</v>
      </c>
      <c r="C275" s="14"/>
      <c r="D275" s="4" t="s">
        <v>394</v>
      </c>
      <c r="E275" s="14" t="s">
        <v>53</v>
      </c>
      <c r="F275" s="14"/>
      <c r="G275" s="14"/>
      <c r="H275" s="3" t="s">
        <v>53</v>
      </c>
      <c r="I275" s="10" t="s">
        <v>53</v>
      </c>
      <c r="J275" s="15" t="s">
        <v>53</v>
      </c>
      <c r="K275" s="15"/>
      <c r="L275" s="11">
        <v>1439048</v>
      </c>
    </row>
    <row r="276" spans="1:12" ht="125" customHeight="1">
      <c r="A276" s="3">
        <v>229</v>
      </c>
      <c r="B276" s="14">
        <v>10501001011</v>
      </c>
      <c r="C276" s="14"/>
      <c r="D276" s="4" t="s">
        <v>395</v>
      </c>
      <c r="E276" s="14" t="s">
        <v>396</v>
      </c>
      <c r="F276" s="14"/>
      <c r="G276" s="14"/>
      <c r="H276" s="3" t="s">
        <v>94</v>
      </c>
      <c r="I276" s="11">
        <v>6869.62</v>
      </c>
      <c r="J276" s="16">
        <v>58.29</v>
      </c>
      <c r="K276" s="15"/>
      <c r="L276" s="11">
        <v>400430.15</v>
      </c>
    </row>
    <row r="277" spans="1:12" ht="302" customHeight="1">
      <c r="A277" s="3">
        <v>230</v>
      </c>
      <c r="B277" s="14">
        <v>10501001012</v>
      </c>
      <c r="C277" s="14"/>
      <c r="D277" s="4" t="s">
        <v>377</v>
      </c>
      <c r="E277" s="14" t="s">
        <v>397</v>
      </c>
      <c r="F277" s="14"/>
      <c r="G277" s="14"/>
      <c r="H277" s="3" t="s">
        <v>94</v>
      </c>
      <c r="I277" s="11">
        <v>6869.62</v>
      </c>
      <c r="J277" s="16">
        <v>151.19</v>
      </c>
      <c r="K277" s="15"/>
      <c r="L277" s="11">
        <v>1038617.85</v>
      </c>
    </row>
    <row r="278" spans="1:12" ht="51" customHeight="1">
      <c r="A278" s="3" t="s">
        <v>53</v>
      </c>
      <c r="B278" s="14" t="s">
        <v>53</v>
      </c>
      <c r="C278" s="14"/>
      <c r="D278" s="4" t="s">
        <v>398</v>
      </c>
      <c r="E278" s="14" t="s">
        <v>53</v>
      </c>
      <c r="F278" s="14"/>
      <c r="G278" s="14"/>
      <c r="H278" s="3" t="s">
        <v>53</v>
      </c>
      <c r="I278" s="10" t="s">
        <v>53</v>
      </c>
      <c r="J278" s="15" t="s">
        <v>53</v>
      </c>
      <c r="K278" s="15"/>
      <c r="L278" s="11">
        <v>39732.58</v>
      </c>
    </row>
    <row r="279" spans="1:12" ht="154" customHeight="1">
      <c r="A279" s="3">
        <v>231</v>
      </c>
      <c r="B279" s="14">
        <v>10501001013</v>
      </c>
      <c r="C279" s="14"/>
      <c r="D279" s="4" t="s">
        <v>349</v>
      </c>
      <c r="E279" s="14" t="s">
        <v>350</v>
      </c>
      <c r="F279" s="14"/>
      <c r="G279" s="14"/>
      <c r="H279" s="3" t="s">
        <v>94</v>
      </c>
      <c r="I279" s="11">
        <v>112.35</v>
      </c>
      <c r="J279" s="16">
        <v>47.29</v>
      </c>
      <c r="K279" s="15"/>
      <c r="L279" s="11">
        <v>5313.03</v>
      </c>
    </row>
    <row r="280" spans="1:12" ht="154" customHeight="1">
      <c r="A280" s="3">
        <v>232</v>
      </c>
      <c r="B280" s="14">
        <v>11101001006</v>
      </c>
      <c r="C280" s="14"/>
      <c r="D280" s="4" t="s">
        <v>399</v>
      </c>
      <c r="E280" s="14" t="s">
        <v>400</v>
      </c>
      <c r="F280" s="14"/>
      <c r="G280" s="14"/>
      <c r="H280" s="3" t="s">
        <v>94</v>
      </c>
      <c r="I280" s="11">
        <v>112.35</v>
      </c>
      <c r="J280" s="16">
        <v>16.47</v>
      </c>
      <c r="K280" s="15"/>
      <c r="L280" s="11">
        <v>1850.4</v>
      </c>
    </row>
    <row r="281" spans="1:12" ht="139" customHeight="1">
      <c r="A281" s="3">
        <v>233</v>
      </c>
      <c r="B281" s="14">
        <v>11101001007</v>
      </c>
      <c r="C281" s="14"/>
      <c r="D281" s="4" t="s">
        <v>401</v>
      </c>
      <c r="E281" s="14" t="s">
        <v>402</v>
      </c>
      <c r="F281" s="14"/>
      <c r="G281" s="14"/>
      <c r="H281" s="3" t="s">
        <v>94</v>
      </c>
      <c r="I281" s="11">
        <v>112.35</v>
      </c>
      <c r="J281" s="16">
        <v>18.36</v>
      </c>
      <c r="K281" s="15"/>
      <c r="L281" s="11">
        <v>2062.75</v>
      </c>
    </row>
    <row r="282" spans="1:12" ht="139" customHeight="1">
      <c r="A282" s="3">
        <v>234</v>
      </c>
      <c r="B282" s="14">
        <v>11109001001</v>
      </c>
      <c r="C282" s="14"/>
      <c r="D282" s="4" t="s">
        <v>403</v>
      </c>
      <c r="E282" s="14" t="s">
        <v>404</v>
      </c>
      <c r="F282" s="14"/>
      <c r="G282" s="14"/>
      <c r="H282" s="3" t="s">
        <v>94</v>
      </c>
      <c r="I282" s="11">
        <v>112.35</v>
      </c>
      <c r="J282" s="16">
        <v>271.52999999999997</v>
      </c>
      <c r="K282" s="15"/>
      <c r="L282" s="11">
        <v>30506.400000000001</v>
      </c>
    </row>
    <row r="283" spans="1:12" ht="36" customHeight="1">
      <c r="A283" s="3" t="s">
        <v>53</v>
      </c>
      <c r="B283" s="14" t="s">
        <v>53</v>
      </c>
      <c r="C283" s="14"/>
      <c r="D283" s="4" t="s">
        <v>405</v>
      </c>
      <c r="E283" s="14" t="s">
        <v>53</v>
      </c>
      <c r="F283" s="14"/>
      <c r="G283" s="14"/>
      <c r="H283" s="3" t="s">
        <v>53</v>
      </c>
      <c r="I283" s="10" t="s">
        <v>53</v>
      </c>
      <c r="J283" s="15" t="s">
        <v>53</v>
      </c>
      <c r="K283" s="15"/>
      <c r="L283" s="11">
        <v>321.13</v>
      </c>
    </row>
    <row r="284" spans="1:12" ht="154" customHeight="1">
      <c r="A284" s="3">
        <v>235</v>
      </c>
      <c r="B284" s="14">
        <v>10501001014</v>
      </c>
      <c r="C284" s="14"/>
      <c r="D284" s="4" t="s">
        <v>349</v>
      </c>
      <c r="E284" s="14" t="s">
        <v>350</v>
      </c>
      <c r="F284" s="14"/>
      <c r="G284" s="14"/>
      <c r="H284" s="3" t="s">
        <v>94</v>
      </c>
      <c r="I284" s="11">
        <v>4.2</v>
      </c>
      <c r="J284" s="16">
        <v>47.29</v>
      </c>
      <c r="K284" s="15"/>
      <c r="L284" s="11">
        <v>198.62</v>
      </c>
    </row>
    <row r="285" spans="1:12" ht="198" customHeight="1">
      <c r="A285" s="3">
        <v>236</v>
      </c>
      <c r="B285" s="14">
        <v>11101001008</v>
      </c>
      <c r="C285" s="14"/>
      <c r="D285" s="4" t="s">
        <v>399</v>
      </c>
      <c r="E285" s="14" t="s">
        <v>406</v>
      </c>
      <c r="F285" s="14"/>
      <c r="G285" s="14"/>
      <c r="H285" s="3" t="s">
        <v>94</v>
      </c>
      <c r="I285" s="11">
        <v>4.2</v>
      </c>
      <c r="J285" s="16">
        <v>29.17</v>
      </c>
      <c r="K285" s="15"/>
      <c r="L285" s="11">
        <v>122.51</v>
      </c>
    </row>
    <row r="286" spans="1:12" ht="51" customHeight="1">
      <c r="A286" s="3" t="s">
        <v>53</v>
      </c>
      <c r="B286" s="14" t="s">
        <v>53</v>
      </c>
      <c r="C286" s="14"/>
      <c r="D286" s="4" t="s">
        <v>407</v>
      </c>
      <c r="E286" s="14" t="s">
        <v>53</v>
      </c>
      <c r="F286" s="14"/>
      <c r="G286" s="14"/>
      <c r="H286" s="3" t="s">
        <v>53</v>
      </c>
      <c r="I286" s="10" t="s">
        <v>53</v>
      </c>
      <c r="J286" s="15" t="s">
        <v>53</v>
      </c>
      <c r="K286" s="15"/>
      <c r="L286" s="11">
        <v>97210.15</v>
      </c>
    </row>
    <row r="287" spans="1:12" ht="154" customHeight="1">
      <c r="A287" s="3">
        <v>237</v>
      </c>
      <c r="B287" s="14">
        <v>10501001015</v>
      </c>
      <c r="C287" s="14"/>
      <c r="D287" s="4" t="s">
        <v>349</v>
      </c>
      <c r="E287" s="14" t="s">
        <v>350</v>
      </c>
      <c r="F287" s="14"/>
      <c r="G287" s="14"/>
      <c r="H287" s="3" t="s">
        <v>94</v>
      </c>
      <c r="I287" s="11">
        <v>181.72</v>
      </c>
      <c r="J287" s="16">
        <v>47.29</v>
      </c>
      <c r="K287" s="15"/>
      <c r="L287" s="11">
        <v>8593.5400000000009</v>
      </c>
    </row>
    <row r="288" spans="1:12" ht="183" customHeight="1">
      <c r="A288" s="3">
        <v>238</v>
      </c>
      <c r="B288" s="14">
        <v>11101002006</v>
      </c>
      <c r="C288" s="14"/>
      <c r="D288" s="4" t="s">
        <v>357</v>
      </c>
      <c r="E288" s="14" t="s">
        <v>358</v>
      </c>
      <c r="F288" s="14"/>
      <c r="G288" s="14"/>
      <c r="H288" s="3" t="s">
        <v>94</v>
      </c>
      <c r="I288" s="11">
        <v>181.72</v>
      </c>
      <c r="J288" s="16">
        <v>34.26</v>
      </c>
      <c r="K288" s="15"/>
      <c r="L288" s="11">
        <v>6225.73</v>
      </c>
    </row>
    <row r="289" spans="1:12" ht="139" customHeight="1">
      <c r="A289" s="3">
        <v>239</v>
      </c>
      <c r="B289" s="14">
        <v>10904002008</v>
      </c>
      <c r="C289" s="14"/>
      <c r="D289" s="4" t="s">
        <v>359</v>
      </c>
      <c r="E289" s="14" t="s">
        <v>408</v>
      </c>
      <c r="F289" s="14"/>
      <c r="G289" s="14"/>
      <c r="H289" s="3" t="s">
        <v>94</v>
      </c>
      <c r="I289" s="11">
        <v>181.72</v>
      </c>
      <c r="J289" s="16">
        <v>34.18</v>
      </c>
      <c r="K289" s="15"/>
      <c r="L289" s="11">
        <v>6211.19</v>
      </c>
    </row>
    <row r="290" spans="1:12" ht="139" customHeight="1">
      <c r="A290" s="3">
        <v>240</v>
      </c>
      <c r="B290" s="14">
        <v>10904002009</v>
      </c>
      <c r="C290" s="14"/>
      <c r="D290" s="4" t="s">
        <v>359</v>
      </c>
      <c r="E290" s="14" t="s">
        <v>408</v>
      </c>
      <c r="F290" s="14"/>
      <c r="G290" s="14"/>
      <c r="H290" s="3" t="s">
        <v>94</v>
      </c>
      <c r="I290" s="11">
        <v>181.72</v>
      </c>
      <c r="J290" s="16">
        <v>34.18</v>
      </c>
      <c r="K290" s="15"/>
      <c r="L290" s="11">
        <v>6211.19</v>
      </c>
    </row>
    <row r="291" spans="1:12" ht="125" customHeight="1">
      <c r="A291" s="3">
        <v>241</v>
      </c>
      <c r="B291" s="14">
        <v>11101001009</v>
      </c>
      <c r="C291" s="14"/>
      <c r="D291" s="4" t="s">
        <v>361</v>
      </c>
      <c r="E291" s="14" t="s">
        <v>362</v>
      </c>
      <c r="F291" s="14"/>
      <c r="G291" s="14"/>
      <c r="H291" s="3" t="s">
        <v>94</v>
      </c>
      <c r="I291" s="11">
        <v>181.72</v>
      </c>
      <c r="J291" s="16">
        <v>13.1</v>
      </c>
      <c r="K291" s="15"/>
      <c r="L291" s="11">
        <v>2380.5300000000002</v>
      </c>
    </row>
    <row r="292" spans="1:12" ht="110" customHeight="1">
      <c r="A292" s="3">
        <v>242</v>
      </c>
      <c r="B292" s="14">
        <v>11201001003</v>
      </c>
      <c r="C292" s="14"/>
      <c r="D292" s="4" t="s">
        <v>363</v>
      </c>
      <c r="E292" s="14" t="s">
        <v>364</v>
      </c>
      <c r="F292" s="14"/>
      <c r="G292" s="14"/>
      <c r="H292" s="3" t="s">
        <v>94</v>
      </c>
      <c r="I292" s="11">
        <v>52</v>
      </c>
      <c r="J292" s="16">
        <v>14.02</v>
      </c>
      <c r="K292" s="15"/>
      <c r="L292" s="11">
        <v>729.04</v>
      </c>
    </row>
    <row r="293" spans="1:12" ht="125" customHeight="1">
      <c r="A293" s="3">
        <v>243</v>
      </c>
      <c r="B293" s="14">
        <v>10501001016</v>
      </c>
      <c r="C293" s="14"/>
      <c r="D293" s="4" t="s">
        <v>365</v>
      </c>
      <c r="E293" s="14" t="s">
        <v>409</v>
      </c>
      <c r="F293" s="14"/>
      <c r="G293" s="14"/>
      <c r="H293" s="3" t="s">
        <v>79</v>
      </c>
      <c r="I293" s="11">
        <v>90.86</v>
      </c>
      <c r="J293" s="16">
        <v>305.43</v>
      </c>
      <c r="K293" s="15"/>
      <c r="L293" s="11">
        <v>27751.37</v>
      </c>
    </row>
    <row r="294" spans="1:12" ht="154" customHeight="1">
      <c r="A294" s="3">
        <v>244</v>
      </c>
      <c r="B294" s="14">
        <v>11102003006</v>
      </c>
      <c r="C294" s="14"/>
      <c r="D294" s="4" t="s">
        <v>351</v>
      </c>
      <c r="E294" s="14" t="s">
        <v>410</v>
      </c>
      <c r="F294" s="14"/>
      <c r="G294" s="14"/>
      <c r="H294" s="3" t="s">
        <v>94</v>
      </c>
      <c r="I294" s="11">
        <v>448.79</v>
      </c>
      <c r="J294" s="16">
        <v>87.14</v>
      </c>
      <c r="K294" s="15"/>
      <c r="L294" s="11">
        <v>39107.56</v>
      </c>
    </row>
    <row r="295" spans="1:12" ht="66" customHeight="1">
      <c r="A295" s="3" t="s">
        <v>53</v>
      </c>
      <c r="B295" s="14" t="s">
        <v>53</v>
      </c>
      <c r="C295" s="14"/>
      <c r="D295" s="4" t="s">
        <v>411</v>
      </c>
      <c r="E295" s="14" t="s">
        <v>53</v>
      </c>
      <c r="F295" s="14"/>
      <c r="G295" s="14"/>
      <c r="H295" s="3" t="s">
        <v>53</v>
      </c>
      <c r="I295" s="10" t="s">
        <v>53</v>
      </c>
      <c r="J295" s="15" t="s">
        <v>53</v>
      </c>
      <c r="K295" s="15"/>
      <c r="L295" s="11">
        <v>187363.46</v>
      </c>
    </row>
    <row r="296" spans="1:12" ht="273" customHeight="1">
      <c r="A296" s="3">
        <v>245</v>
      </c>
      <c r="B296" s="14">
        <v>11102003007</v>
      </c>
      <c r="C296" s="14"/>
      <c r="D296" s="4" t="s">
        <v>351</v>
      </c>
      <c r="E296" s="14" t="s">
        <v>412</v>
      </c>
      <c r="F296" s="14"/>
      <c r="G296" s="14"/>
      <c r="H296" s="3" t="s">
        <v>94</v>
      </c>
      <c r="I296" s="11">
        <v>962.154</v>
      </c>
      <c r="J296" s="16">
        <v>93.69</v>
      </c>
      <c r="K296" s="15"/>
      <c r="L296" s="11">
        <v>90144.21</v>
      </c>
    </row>
    <row r="297" spans="1:12" ht="273" customHeight="1">
      <c r="A297" s="3">
        <v>246</v>
      </c>
      <c r="B297" s="14">
        <v>11102003008</v>
      </c>
      <c r="C297" s="14"/>
      <c r="D297" s="4" t="s">
        <v>353</v>
      </c>
      <c r="E297" s="14" t="s">
        <v>354</v>
      </c>
      <c r="F297" s="14"/>
      <c r="G297" s="14"/>
      <c r="H297" s="3" t="s">
        <v>94</v>
      </c>
      <c r="I297" s="11">
        <v>320.71800000000002</v>
      </c>
      <c r="J297" s="16">
        <v>91.54</v>
      </c>
      <c r="K297" s="15"/>
      <c r="L297" s="11">
        <v>29358.53</v>
      </c>
    </row>
    <row r="298" spans="1:12" ht="273" customHeight="1">
      <c r="A298" s="3">
        <v>247</v>
      </c>
      <c r="B298" s="14">
        <v>11106003002</v>
      </c>
      <c r="C298" s="14"/>
      <c r="D298" s="4" t="s">
        <v>355</v>
      </c>
      <c r="E298" s="14" t="s">
        <v>354</v>
      </c>
      <c r="F298" s="14"/>
      <c r="G298" s="14"/>
      <c r="H298" s="3" t="s">
        <v>94</v>
      </c>
      <c r="I298" s="11">
        <v>320.71800000000002</v>
      </c>
      <c r="J298" s="16">
        <v>211.59</v>
      </c>
      <c r="K298" s="15"/>
      <c r="L298" s="11">
        <v>67860.72</v>
      </c>
    </row>
    <row r="299" spans="1:12" ht="36" customHeight="1">
      <c r="A299" s="3" t="s">
        <v>53</v>
      </c>
      <c r="B299" s="14" t="s">
        <v>53</v>
      </c>
      <c r="C299" s="14"/>
      <c r="D299" s="4" t="s">
        <v>413</v>
      </c>
      <c r="E299" s="14" t="s">
        <v>53</v>
      </c>
      <c r="F299" s="14"/>
      <c r="G299" s="14"/>
      <c r="H299" s="3" t="s">
        <v>53</v>
      </c>
      <c r="I299" s="10" t="s">
        <v>53</v>
      </c>
      <c r="J299" s="15" t="s">
        <v>53</v>
      </c>
      <c r="K299" s="15"/>
      <c r="L299" s="11">
        <v>184804.39</v>
      </c>
    </row>
    <row r="300" spans="1:12" ht="183" customHeight="1">
      <c r="A300" s="3">
        <v>248</v>
      </c>
      <c r="B300" s="14">
        <v>11101002007</v>
      </c>
      <c r="C300" s="14"/>
      <c r="D300" s="4" t="s">
        <v>357</v>
      </c>
      <c r="E300" s="14" t="s">
        <v>414</v>
      </c>
      <c r="F300" s="14"/>
      <c r="G300" s="14"/>
      <c r="H300" s="3" t="s">
        <v>94</v>
      </c>
      <c r="I300" s="11">
        <v>476.33</v>
      </c>
      <c r="J300" s="16">
        <v>34.26</v>
      </c>
      <c r="K300" s="15"/>
      <c r="L300" s="11">
        <v>16319.07</v>
      </c>
    </row>
    <row r="301" spans="1:12" ht="273" customHeight="1">
      <c r="A301" s="3">
        <v>249</v>
      </c>
      <c r="B301" s="14">
        <v>10904002010</v>
      </c>
      <c r="C301" s="14"/>
      <c r="D301" s="4" t="s">
        <v>359</v>
      </c>
      <c r="E301" s="14" t="s">
        <v>360</v>
      </c>
      <c r="F301" s="14"/>
      <c r="G301" s="14"/>
      <c r="H301" s="3" t="s">
        <v>94</v>
      </c>
      <c r="I301" s="11">
        <v>717.75</v>
      </c>
      <c r="J301" s="16">
        <v>32.18</v>
      </c>
      <c r="K301" s="15"/>
      <c r="L301" s="11">
        <v>23097.200000000001</v>
      </c>
    </row>
    <row r="302" spans="1:12" ht="125" customHeight="1">
      <c r="A302" s="3">
        <v>250</v>
      </c>
      <c r="B302" s="14">
        <v>11101001010</v>
      </c>
      <c r="C302" s="14"/>
      <c r="D302" s="4" t="s">
        <v>361</v>
      </c>
      <c r="E302" s="14" t="s">
        <v>362</v>
      </c>
      <c r="F302" s="14"/>
      <c r="G302" s="14"/>
      <c r="H302" s="3" t="s">
        <v>94</v>
      </c>
      <c r="I302" s="11">
        <v>476.33</v>
      </c>
      <c r="J302" s="16">
        <v>13.1</v>
      </c>
      <c r="K302" s="15"/>
      <c r="L302" s="11">
        <v>6239.92</v>
      </c>
    </row>
    <row r="303" spans="1:12" ht="110" customHeight="1">
      <c r="A303" s="3">
        <v>251</v>
      </c>
      <c r="B303" s="14">
        <v>11201001004</v>
      </c>
      <c r="C303" s="14"/>
      <c r="D303" s="4" t="s">
        <v>363</v>
      </c>
      <c r="E303" s="14" t="s">
        <v>364</v>
      </c>
      <c r="F303" s="14"/>
      <c r="G303" s="14"/>
      <c r="H303" s="3" t="s">
        <v>94</v>
      </c>
      <c r="I303" s="11">
        <v>479.85</v>
      </c>
      <c r="J303" s="16">
        <v>14.02</v>
      </c>
      <c r="K303" s="15"/>
      <c r="L303" s="11">
        <v>6727.5</v>
      </c>
    </row>
    <row r="304" spans="1:12" ht="154" customHeight="1">
      <c r="A304" s="3">
        <v>252</v>
      </c>
      <c r="B304" s="14">
        <v>10501001017</v>
      </c>
      <c r="C304" s="14"/>
      <c r="D304" s="4" t="s">
        <v>365</v>
      </c>
      <c r="E304" s="14" t="s">
        <v>366</v>
      </c>
      <c r="F304" s="14"/>
      <c r="G304" s="14"/>
      <c r="H304" s="3" t="s">
        <v>79</v>
      </c>
      <c r="I304" s="11">
        <v>190.53200000000001</v>
      </c>
      <c r="J304" s="16">
        <v>305.43</v>
      </c>
      <c r="K304" s="15"/>
      <c r="L304" s="11">
        <v>58194.19</v>
      </c>
    </row>
    <row r="305" spans="1:12" ht="154" customHeight="1">
      <c r="A305" s="3">
        <v>253</v>
      </c>
      <c r="B305" s="14">
        <v>11101002008</v>
      </c>
      <c r="C305" s="14"/>
      <c r="D305" s="4" t="s">
        <v>357</v>
      </c>
      <c r="E305" s="14" t="s">
        <v>367</v>
      </c>
      <c r="F305" s="14"/>
      <c r="G305" s="14"/>
      <c r="H305" s="3" t="s">
        <v>94</v>
      </c>
      <c r="I305" s="11">
        <v>476.33</v>
      </c>
      <c r="J305" s="16">
        <v>36.659999999999997</v>
      </c>
      <c r="K305" s="15"/>
      <c r="L305" s="11">
        <v>17462.259999999998</v>
      </c>
    </row>
    <row r="306" spans="1:12" ht="288" customHeight="1">
      <c r="A306" s="3">
        <v>254</v>
      </c>
      <c r="B306" s="14">
        <v>10904002011</v>
      </c>
      <c r="C306" s="14"/>
      <c r="D306" s="4" t="s">
        <v>359</v>
      </c>
      <c r="E306" s="14" t="s">
        <v>368</v>
      </c>
      <c r="F306" s="14"/>
      <c r="G306" s="14"/>
      <c r="H306" s="3" t="s">
        <v>94</v>
      </c>
      <c r="I306" s="11">
        <v>476.33</v>
      </c>
      <c r="J306" s="16">
        <v>34.18</v>
      </c>
      <c r="K306" s="15"/>
      <c r="L306" s="11">
        <v>16280.96</v>
      </c>
    </row>
    <row r="307" spans="1:12" ht="154" customHeight="1">
      <c r="A307" s="3">
        <v>255</v>
      </c>
      <c r="B307" s="14">
        <v>11102003009</v>
      </c>
      <c r="C307" s="14"/>
      <c r="D307" s="4" t="s">
        <v>351</v>
      </c>
      <c r="E307" s="14" t="s">
        <v>369</v>
      </c>
      <c r="F307" s="14"/>
      <c r="G307" s="14"/>
      <c r="H307" s="3" t="s">
        <v>94</v>
      </c>
      <c r="I307" s="11">
        <v>476.33</v>
      </c>
      <c r="J307" s="16">
        <v>84.99</v>
      </c>
      <c r="K307" s="15"/>
      <c r="L307" s="11">
        <v>40483.29</v>
      </c>
    </row>
    <row r="308" spans="1:12" ht="36" customHeight="1">
      <c r="A308" s="3" t="s">
        <v>53</v>
      </c>
      <c r="B308" s="14" t="s">
        <v>53</v>
      </c>
      <c r="C308" s="14"/>
      <c r="D308" s="4" t="s">
        <v>415</v>
      </c>
      <c r="E308" s="14" t="s">
        <v>53</v>
      </c>
      <c r="F308" s="14"/>
      <c r="G308" s="14"/>
      <c r="H308" s="3" t="s">
        <v>53</v>
      </c>
      <c r="I308" s="10" t="s">
        <v>53</v>
      </c>
      <c r="J308" s="15" t="s">
        <v>53</v>
      </c>
      <c r="K308" s="15"/>
      <c r="L308" s="11">
        <v>2565.1999999999998</v>
      </c>
    </row>
    <row r="309" spans="1:12" ht="183" customHeight="1">
      <c r="A309" s="3">
        <v>256</v>
      </c>
      <c r="B309" s="14">
        <v>11101002009</v>
      </c>
      <c r="C309" s="14"/>
      <c r="D309" s="4" t="s">
        <v>357</v>
      </c>
      <c r="E309" s="14" t="s">
        <v>374</v>
      </c>
      <c r="F309" s="14"/>
      <c r="G309" s="14"/>
      <c r="H309" s="3" t="s">
        <v>94</v>
      </c>
      <c r="I309" s="11">
        <v>11.2</v>
      </c>
      <c r="J309" s="16">
        <v>26.66</v>
      </c>
      <c r="K309" s="15"/>
      <c r="L309" s="11">
        <v>298.58999999999997</v>
      </c>
    </row>
    <row r="310" spans="1:12" ht="228" customHeight="1">
      <c r="A310" s="3">
        <v>257</v>
      </c>
      <c r="B310" s="14">
        <v>10904002012</v>
      </c>
      <c r="C310" s="14"/>
      <c r="D310" s="4" t="s">
        <v>359</v>
      </c>
      <c r="E310" s="14" t="s">
        <v>416</v>
      </c>
      <c r="F310" s="14"/>
      <c r="G310" s="14"/>
      <c r="H310" s="3" t="s">
        <v>94</v>
      </c>
      <c r="I310" s="11">
        <v>18.88</v>
      </c>
      <c r="J310" s="16">
        <v>34.18</v>
      </c>
      <c r="K310" s="15"/>
      <c r="L310" s="11">
        <v>645.32000000000005</v>
      </c>
    </row>
    <row r="311" spans="1:12" ht="273" customHeight="1">
      <c r="A311" s="3">
        <v>258</v>
      </c>
      <c r="B311" s="14">
        <v>10904002013</v>
      </c>
      <c r="C311" s="14"/>
      <c r="D311" s="4" t="s">
        <v>359</v>
      </c>
      <c r="E311" s="14" t="s">
        <v>371</v>
      </c>
      <c r="F311" s="14"/>
      <c r="G311" s="14"/>
      <c r="H311" s="3" t="s">
        <v>94</v>
      </c>
      <c r="I311" s="11">
        <v>18.88</v>
      </c>
      <c r="J311" s="16">
        <v>34.18</v>
      </c>
      <c r="K311" s="15"/>
      <c r="L311" s="11">
        <v>645.32000000000005</v>
      </c>
    </row>
    <row r="312" spans="1:12" ht="154" customHeight="1">
      <c r="A312" s="3">
        <v>259</v>
      </c>
      <c r="B312" s="14">
        <v>11102003010</v>
      </c>
      <c r="C312" s="14"/>
      <c r="D312" s="4" t="s">
        <v>351</v>
      </c>
      <c r="E312" s="14" t="s">
        <v>372</v>
      </c>
      <c r="F312" s="14"/>
      <c r="G312" s="14"/>
      <c r="H312" s="3" t="s">
        <v>94</v>
      </c>
      <c r="I312" s="11">
        <v>11.2</v>
      </c>
      <c r="J312" s="16">
        <v>87.14</v>
      </c>
      <c r="K312" s="15"/>
      <c r="L312" s="11">
        <v>975.97</v>
      </c>
    </row>
    <row r="313" spans="1:12" ht="51" customHeight="1">
      <c r="A313" s="3" t="s">
        <v>53</v>
      </c>
      <c r="B313" s="14" t="s">
        <v>53</v>
      </c>
      <c r="C313" s="14"/>
      <c r="D313" s="4" t="s">
        <v>417</v>
      </c>
      <c r="E313" s="14" t="s">
        <v>53</v>
      </c>
      <c r="F313" s="14"/>
      <c r="G313" s="14"/>
      <c r="H313" s="3" t="s">
        <v>53</v>
      </c>
      <c r="I313" s="10" t="s">
        <v>53</v>
      </c>
      <c r="J313" s="15" t="s">
        <v>53</v>
      </c>
      <c r="K313" s="15"/>
      <c r="L313" s="11">
        <v>608716.55000000005</v>
      </c>
    </row>
    <row r="314" spans="1:12" ht="169" customHeight="1">
      <c r="A314" s="3">
        <v>260</v>
      </c>
      <c r="B314" s="14">
        <v>11101001011</v>
      </c>
      <c r="C314" s="14"/>
      <c r="D314" s="4" t="s">
        <v>379</v>
      </c>
      <c r="E314" s="14" t="s">
        <v>380</v>
      </c>
      <c r="F314" s="14"/>
      <c r="G314" s="14"/>
      <c r="H314" s="3" t="s">
        <v>94</v>
      </c>
      <c r="I314" s="11">
        <v>18729.740000000002</v>
      </c>
      <c r="J314" s="16">
        <v>14.14</v>
      </c>
      <c r="K314" s="15"/>
      <c r="L314" s="11">
        <v>264838.52</v>
      </c>
    </row>
    <row r="315" spans="1:12" ht="288" customHeight="1">
      <c r="A315" s="3">
        <v>261</v>
      </c>
      <c r="B315" s="14">
        <v>11101001012</v>
      </c>
      <c r="C315" s="14"/>
      <c r="D315" s="4" t="s">
        <v>381</v>
      </c>
      <c r="E315" s="14" t="s">
        <v>382</v>
      </c>
      <c r="F315" s="14"/>
      <c r="G315" s="14"/>
      <c r="H315" s="3" t="s">
        <v>94</v>
      </c>
      <c r="I315" s="11">
        <v>18729.740000000002</v>
      </c>
      <c r="J315" s="16">
        <v>18.36</v>
      </c>
      <c r="K315" s="15"/>
      <c r="L315" s="11">
        <v>343878.03</v>
      </c>
    </row>
    <row r="316" spans="1:12" ht="80" customHeight="1">
      <c r="A316" s="3" t="s">
        <v>53</v>
      </c>
      <c r="B316" s="14" t="s">
        <v>53</v>
      </c>
      <c r="C316" s="14"/>
      <c r="D316" s="4" t="s">
        <v>418</v>
      </c>
      <c r="E316" s="14" t="s">
        <v>53</v>
      </c>
      <c r="F316" s="14"/>
      <c r="G316" s="14"/>
      <c r="H316" s="3" t="s">
        <v>53</v>
      </c>
      <c r="I316" s="10" t="s">
        <v>53</v>
      </c>
      <c r="J316" s="15" t="s">
        <v>53</v>
      </c>
      <c r="K316" s="15"/>
      <c r="L316" s="11">
        <v>3471.25</v>
      </c>
    </row>
    <row r="317" spans="1:12" ht="169" customHeight="1">
      <c r="A317" s="3">
        <v>262</v>
      </c>
      <c r="B317" s="14">
        <v>11101003003</v>
      </c>
      <c r="C317" s="14"/>
      <c r="D317" s="4" t="s">
        <v>389</v>
      </c>
      <c r="E317" s="14" t="s">
        <v>390</v>
      </c>
      <c r="F317" s="14"/>
      <c r="G317" s="14"/>
      <c r="H317" s="3" t="s">
        <v>94</v>
      </c>
      <c r="I317" s="11">
        <v>179.3</v>
      </c>
      <c r="J317" s="16">
        <v>19.36</v>
      </c>
      <c r="K317" s="15"/>
      <c r="L317" s="11">
        <v>3471.25</v>
      </c>
    </row>
    <row r="318" spans="1:12" ht="36" customHeight="1">
      <c r="A318" s="3" t="s">
        <v>53</v>
      </c>
      <c r="B318" s="14" t="s">
        <v>53</v>
      </c>
      <c r="C318" s="14"/>
      <c r="D318" s="4" t="s">
        <v>419</v>
      </c>
      <c r="E318" s="14" t="s">
        <v>53</v>
      </c>
      <c r="F318" s="14"/>
      <c r="G318" s="14"/>
      <c r="H318" s="3" t="s">
        <v>53</v>
      </c>
      <c r="I318" s="10" t="s">
        <v>53</v>
      </c>
      <c r="J318" s="15" t="s">
        <v>53</v>
      </c>
      <c r="K318" s="15"/>
      <c r="L318" s="11">
        <v>578109.91</v>
      </c>
    </row>
    <row r="319" spans="1:12" ht="125" customHeight="1">
      <c r="A319" s="3">
        <v>263</v>
      </c>
      <c r="B319" s="14">
        <v>11101001013</v>
      </c>
      <c r="C319" s="14"/>
      <c r="D319" s="4" t="s">
        <v>420</v>
      </c>
      <c r="E319" s="14" t="s">
        <v>421</v>
      </c>
      <c r="F319" s="14"/>
      <c r="G319" s="14"/>
      <c r="H319" s="3" t="s">
        <v>94</v>
      </c>
      <c r="I319" s="11">
        <v>20024.59</v>
      </c>
      <c r="J319" s="16">
        <v>3.7</v>
      </c>
      <c r="K319" s="15"/>
      <c r="L319" s="11">
        <v>74090.98</v>
      </c>
    </row>
    <row r="320" spans="1:12" ht="183" customHeight="1">
      <c r="A320" s="3">
        <v>264</v>
      </c>
      <c r="B320" s="14">
        <v>10904002014</v>
      </c>
      <c r="C320" s="14"/>
      <c r="D320" s="4" t="s">
        <v>422</v>
      </c>
      <c r="E320" s="14" t="s">
        <v>423</v>
      </c>
      <c r="F320" s="14"/>
      <c r="G320" s="14"/>
      <c r="H320" s="3" t="s">
        <v>94</v>
      </c>
      <c r="I320" s="11">
        <v>20024.59</v>
      </c>
      <c r="J320" s="16">
        <v>25.17</v>
      </c>
      <c r="K320" s="15"/>
      <c r="L320" s="11">
        <v>504018.93</v>
      </c>
    </row>
    <row r="321" spans="1:12" ht="36" customHeight="1">
      <c r="A321" s="3" t="s">
        <v>53</v>
      </c>
      <c r="B321" s="14" t="s">
        <v>53</v>
      </c>
      <c r="C321" s="14"/>
      <c r="D321" s="4" t="s">
        <v>424</v>
      </c>
      <c r="E321" s="14" t="s">
        <v>53</v>
      </c>
      <c r="F321" s="14"/>
      <c r="G321" s="14"/>
      <c r="H321" s="3" t="s">
        <v>53</v>
      </c>
      <c r="I321" s="10" t="s">
        <v>53</v>
      </c>
      <c r="J321" s="15" t="s">
        <v>53</v>
      </c>
      <c r="K321" s="15"/>
      <c r="L321" s="11">
        <v>17.260000000000002</v>
      </c>
    </row>
    <row r="322" spans="1:12" ht="110" customHeight="1">
      <c r="A322" s="3">
        <v>265</v>
      </c>
      <c r="B322" s="14">
        <v>11101001014</v>
      </c>
      <c r="C322" s="14"/>
      <c r="D322" s="4" t="s">
        <v>425</v>
      </c>
      <c r="E322" s="14" t="s">
        <v>426</v>
      </c>
      <c r="F322" s="14"/>
      <c r="G322" s="14"/>
      <c r="H322" s="3" t="s">
        <v>94</v>
      </c>
      <c r="I322" s="11">
        <v>4.2</v>
      </c>
      <c r="J322" s="16">
        <v>4.1100000000000003</v>
      </c>
      <c r="K322" s="15"/>
      <c r="L322" s="11">
        <v>17.260000000000002</v>
      </c>
    </row>
    <row r="323" spans="1:12" ht="36" customHeight="1">
      <c r="A323" s="3" t="s">
        <v>53</v>
      </c>
      <c r="B323" s="14" t="s">
        <v>53</v>
      </c>
      <c r="C323" s="14"/>
      <c r="D323" s="4" t="s">
        <v>427</v>
      </c>
      <c r="E323" s="14" t="s">
        <v>53</v>
      </c>
      <c r="F323" s="14"/>
      <c r="G323" s="14"/>
      <c r="H323" s="3" t="s">
        <v>53</v>
      </c>
      <c r="I323" s="10" t="s">
        <v>53</v>
      </c>
      <c r="J323" s="15" t="s">
        <v>53</v>
      </c>
      <c r="K323" s="15"/>
      <c r="L323" s="11">
        <v>266.92</v>
      </c>
    </row>
    <row r="324" spans="1:12" ht="198" customHeight="1">
      <c r="A324" s="3">
        <v>266</v>
      </c>
      <c r="B324" s="14">
        <v>11101001015</v>
      </c>
      <c r="C324" s="14"/>
      <c r="D324" s="4" t="s">
        <v>399</v>
      </c>
      <c r="E324" s="14" t="s">
        <v>406</v>
      </c>
      <c r="F324" s="14"/>
      <c r="G324" s="14"/>
      <c r="H324" s="3" t="s">
        <v>94</v>
      </c>
      <c r="I324" s="11">
        <v>10.37</v>
      </c>
      <c r="J324" s="16">
        <v>25.74</v>
      </c>
      <c r="K324" s="15"/>
      <c r="L324" s="11">
        <v>266.92</v>
      </c>
    </row>
    <row r="325" spans="1:12" ht="36" customHeight="1">
      <c r="A325" s="3" t="s">
        <v>53</v>
      </c>
      <c r="B325" s="14" t="s">
        <v>53</v>
      </c>
      <c r="C325" s="14"/>
      <c r="D325" s="4" t="s">
        <v>428</v>
      </c>
      <c r="E325" s="14" t="s">
        <v>53</v>
      </c>
      <c r="F325" s="14"/>
      <c r="G325" s="14"/>
      <c r="H325" s="3" t="s">
        <v>53</v>
      </c>
      <c r="I325" s="10" t="s">
        <v>53</v>
      </c>
      <c r="J325" s="15" t="s">
        <v>53</v>
      </c>
      <c r="K325" s="15"/>
      <c r="L325" s="11">
        <v>18154.27</v>
      </c>
    </row>
    <row r="326" spans="1:12" ht="169" customHeight="1">
      <c r="A326" s="3">
        <v>267</v>
      </c>
      <c r="B326" s="14">
        <v>11105003001</v>
      </c>
      <c r="C326" s="14"/>
      <c r="D326" s="4" t="s">
        <v>429</v>
      </c>
      <c r="E326" s="14" t="s">
        <v>430</v>
      </c>
      <c r="F326" s="14"/>
      <c r="G326" s="14"/>
      <c r="H326" s="3" t="s">
        <v>273</v>
      </c>
      <c r="I326" s="11">
        <v>158.83000000000001</v>
      </c>
      <c r="J326" s="16">
        <v>114.3</v>
      </c>
      <c r="K326" s="15"/>
      <c r="L326" s="11">
        <v>18154.27</v>
      </c>
    </row>
    <row r="327" spans="1:12" ht="36" customHeight="1">
      <c r="A327" s="3" t="s">
        <v>53</v>
      </c>
      <c r="B327" s="14" t="s">
        <v>53</v>
      </c>
      <c r="C327" s="14"/>
      <c r="D327" s="4" t="s">
        <v>431</v>
      </c>
      <c r="E327" s="14" t="s">
        <v>53</v>
      </c>
      <c r="F327" s="14"/>
      <c r="G327" s="14"/>
      <c r="H327" s="3" t="s">
        <v>53</v>
      </c>
      <c r="I327" s="10" t="s">
        <v>53</v>
      </c>
      <c r="J327" s="15" t="s">
        <v>53</v>
      </c>
      <c r="K327" s="15"/>
      <c r="L327" s="11">
        <v>817.39</v>
      </c>
    </row>
    <row r="328" spans="1:12" ht="213" customHeight="1">
      <c r="A328" s="3">
        <v>268</v>
      </c>
      <c r="B328" s="14">
        <v>11105006001</v>
      </c>
      <c r="C328" s="14"/>
      <c r="D328" s="4" t="s">
        <v>432</v>
      </c>
      <c r="E328" s="14" t="s">
        <v>433</v>
      </c>
      <c r="F328" s="14"/>
      <c r="G328" s="14"/>
      <c r="H328" s="3" t="s">
        <v>94</v>
      </c>
      <c r="I328" s="11">
        <v>5.9</v>
      </c>
      <c r="J328" s="16">
        <v>138.54</v>
      </c>
      <c r="K328" s="15"/>
      <c r="L328" s="11">
        <v>817.39</v>
      </c>
    </row>
    <row r="329" spans="1:12" ht="36" customHeight="1">
      <c r="A329" s="3" t="s">
        <v>53</v>
      </c>
      <c r="B329" s="14" t="s">
        <v>53</v>
      </c>
      <c r="C329" s="14"/>
      <c r="D329" s="4" t="s">
        <v>434</v>
      </c>
      <c r="E329" s="14" t="s">
        <v>53</v>
      </c>
      <c r="F329" s="14"/>
      <c r="G329" s="14"/>
      <c r="H329" s="3" t="s">
        <v>53</v>
      </c>
      <c r="I329" s="10" t="s">
        <v>53</v>
      </c>
      <c r="J329" s="15" t="s">
        <v>53</v>
      </c>
      <c r="K329" s="15"/>
      <c r="L329" s="11">
        <v>6351.53</v>
      </c>
    </row>
    <row r="330" spans="1:12" ht="169" customHeight="1">
      <c r="A330" s="3">
        <v>269</v>
      </c>
      <c r="B330" s="14">
        <v>11105001001</v>
      </c>
      <c r="C330" s="14"/>
      <c r="D330" s="4" t="s">
        <v>435</v>
      </c>
      <c r="E330" s="14" t="s">
        <v>436</v>
      </c>
      <c r="F330" s="14"/>
      <c r="G330" s="14"/>
      <c r="H330" s="3" t="s">
        <v>273</v>
      </c>
      <c r="I330" s="11">
        <v>291.89</v>
      </c>
      <c r="J330" s="16">
        <v>21.76</v>
      </c>
      <c r="K330" s="15"/>
      <c r="L330" s="11">
        <v>6351.53</v>
      </c>
    </row>
    <row r="331" spans="1:12" ht="23" customHeight="1">
      <c r="A331" s="3" t="s">
        <v>53</v>
      </c>
      <c r="B331" s="14" t="s">
        <v>53</v>
      </c>
      <c r="C331" s="14"/>
      <c r="D331" s="4" t="s">
        <v>31</v>
      </c>
      <c r="E331" s="14" t="s">
        <v>53</v>
      </c>
      <c r="F331" s="14"/>
      <c r="G331" s="14"/>
      <c r="H331" s="3" t="s">
        <v>53</v>
      </c>
      <c r="I331" s="10" t="s">
        <v>53</v>
      </c>
      <c r="J331" s="15" t="s">
        <v>53</v>
      </c>
      <c r="K331" s="15"/>
      <c r="L331" s="11">
        <v>6581041.3300000001</v>
      </c>
    </row>
    <row r="332" spans="1:12" ht="23" customHeight="1">
      <c r="A332" s="3" t="s">
        <v>53</v>
      </c>
      <c r="B332" s="14" t="s">
        <v>53</v>
      </c>
      <c r="C332" s="14"/>
      <c r="D332" s="4" t="s">
        <v>437</v>
      </c>
      <c r="E332" s="14" t="s">
        <v>53</v>
      </c>
      <c r="F332" s="14"/>
      <c r="G332" s="14"/>
      <c r="H332" s="3" t="s">
        <v>53</v>
      </c>
      <c r="I332" s="10" t="s">
        <v>53</v>
      </c>
      <c r="J332" s="15" t="s">
        <v>53</v>
      </c>
      <c r="K332" s="15"/>
      <c r="L332" s="11">
        <v>3490829.12</v>
      </c>
    </row>
    <row r="333" spans="1:12" ht="23" customHeight="1">
      <c r="A333" s="3" t="s">
        <v>53</v>
      </c>
      <c r="B333" s="14" t="s">
        <v>53</v>
      </c>
      <c r="C333" s="14"/>
      <c r="D333" s="4" t="s">
        <v>438</v>
      </c>
      <c r="E333" s="14" t="s">
        <v>53</v>
      </c>
      <c r="F333" s="14"/>
      <c r="G333" s="14"/>
      <c r="H333" s="3" t="s">
        <v>53</v>
      </c>
      <c r="I333" s="10" t="s">
        <v>53</v>
      </c>
      <c r="J333" s="15" t="s">
        <v>53</v>
      </c>
      <c r="K333" s="15"/>
      <c r="L333" s="11">
        <v>1469842.54</v>
      </c>
    </row>
    <row r="334" spans="1:12" ht="183" customHeight="1">
      <c r="A334" s="3">
        <v>270</v>
      </c>
      <c r="B334" s="14">
        <v>11201001005</v>
      </c>
      <c r="C334" s="14"/>
      <c r="D334" s="4" t="s">
        <v>439</v>
      </c>
      <c r="E334" s="14" t="s">
        <v>440</v>
      </c>
      <c r="F334" s="14"/>
      <c r="G334" s="14"/>
      <c r="H334" s="3" t="s">
        <v>94</v>
      </c>
      <c r="I334" s="11">
        <v>16208.47</v>
      </c>
      <c r="J334" s="16">
        <v>39.99</v>
      </c>
      <c r="K334" s="15"/>
      <c r="L334" s="11">
        <v>648176.72</v>
      </c>
    </row>
    <row r="335" spans="1:12" ht="183" customHeight="1">
      <c r="A335" s="3">
        <v>271</v>
      </c>
      <c r="B335" s="14">
        <v>11403003001</v>
      </c>
      <c r="C335" s="14"/>
      <c r="D335" s="4" t="s">
        <v>441</v>
      </c>
      <c r="E335" s="14" t="s">
        <v>442</v>
      </c>
      <c r="F335" s="14"/>
      <c r="G335" s="14"/>
      <c r="H335" s="3" t="s">
        <v>94</v>
      </c>
      <c r="I335" s="11">
        <v>16208.47</v>
      </c>
      <c r="J335" s="16">
        <v>31.39</v>
      </c>
      <c r="K335" s="15"/>
      <c r="L335" s="11">
        <v>508783.87</v>
      </c>
    </row>
    <row r="336" spans="1:12" ht="183" customHeight="1">
      <c r="A336" s="3">
        <v>272</v>
      </c>
      <c r="B336" s="14">
        <v>11201001006</v>
      </c>
      <c r="C336" s="14"/>
      <c r="D336" s="4" t="s">
        <v>443</v>
      </c>
      <c r="E336" s="14" t="s">
        <v>440</v>
      </c>
      <c r="F336" s="14"/>
      <c r="G336" s="14"/>
      <c r="H336" s="3" t="s">
        <v>94</v>
      </c>
      <c r="I336" s="11">
        <v>3443.94</v>
      </c>
      <c r="J336" s="16">
        <v>56.55</v>
      </c>
      <c r="K336" s="15"/>
      <c r="L336" s="11">
        <v>194754.81</v>
      </c>
    </row>
    <row r="337" spans="1:12" ht="183" customHeight="1">
      <c r="A337" s="3">
        <v>273</v>
      </c>
      <c r="B337" s="14">
        <v>11403003002</v>
      </c>
      <c r="C337" s="14"/>
      <c r="D337" s="4" t="s">
        <v>444</v>
      </c>
      <c r="E337" s="14" t="s">
        <v>442</v>
      </c>
      <c r="F337" s="14"/>
      <c r="G337" s="14"/>
      <c r="H337" s="3" t="s">
        <v>94</v>
      </c>
      <c r="I337" s="11">
        <v>3443.94</v>
      </c>
      <c r="J337" s="16">
        <v>34.299999999999997</v>
      </c>
      <c r="K337" s="15"/>
      <c r="L337" s="11">
        <v>118127.14</v>
      </c>
    </row>
    <row r="338" spans="1:12" ht="51" customHeight="1">
      <c r="A338" s="3" t="s">
        <v>53</v>
      </c>
      <c r="B338" s="14" t="s">
        <v>53</v>
      </c>
      <c r="C338" s="14"/>
      <c r="D338" s="4" t="s">
        <v>445</v>
      </c>
      <c r="E338" s="14" t="s">
        <v>53</v>
      </c>
      <c r="F338" s="14"/>
      <c r="G338" s="14"/>
      <c r="H338" s="3" t="s">
        <v>53</v>
      </c>
      <c r="I338" s="10" t="s">
        <v>53</v>
      </c>
      <c r="J338" s="15" t="s">
        <v>53</v>
      </c>
      <c r="K338" s="15"/>
      <c r="L338" s="11">
        <v>61675.81</v>
      </c>
    </row>
    <row r="339" spans="1:12" ht="154" customHeight="1">
      <c r="A339" s="3">
        <v>274</v>
      </c>
      <c r="B339" s="14">
        <v>11201001007</v>
      </c>
      <c r="C339" s="14"/>
      <c r="D339" s="4" t="s">
        <v>439</v>
      </c>
      <c r="E339" s="14" t="s">
        <v>446</v>
      </c>
      <c r="F339" s="14"/>
      <c r="G339" s="14"/>
      <c r="H339" s="3" t="s">
        <v>94</v>
      </c>
      <c r="I339" s="11">
        <v>763.22</v>
      </c>
      <c r="J339" s="16">
        <v>32.42</v>
      </c>
      <c r="K339" s="15"/>
      <c r="L339" s="11">
        <v>24743.59</v>
      </c>
    </row>
    <row r="340" spans="1:12" ht="125" customHeight="1">
      <c r="A340" s="3">
        <v>275</v>
      </c>
      <c r="B340" s="14">
        <v>11201001008</v>
      </c>
      <c r="C340" s="14"/>
      <c r="D340" s="4" t="s">
        <v>439</v>
      </c>
      <c r="E340" s="14" t="s">
        <v>447</v>
      </c>
      <c r="F340" s="14"/>
      <c r="G340" s="14"/>
      <c r="H340" s="3" t="s">
        <v>94</v>
      </c>
      <c r="I340" s="11">
        <v>763.22</v>
      </c>
      <c r="J340" s="16">
        <v>17</v>
      </c>
      <c r="K340" s="15"/>
      <c r="L340" s="11">
        <v>12974.74</v>
      </c>
    </row>
    <row r="341" spans="1:12" ht="183" customHeight="1">
      <c r="A341" s="3">
        <v>276</v>
      </c>
      <c r="B341" s="14">
        <v>11403003003</v>
      </c>
      <c r="C341" s="14"/>
      <c r="D341" s="4" t="s">
        <v>441</v>
      </c>
      <c r="E341" s="14" t="s">
        <v>442</v>
      </c>
      <c r="F341" s="14"/>
      <c r="G341" s="14"/>
      <c r="H341" s="3" t="s">
        <v>94</v>
      </c>
      <c r="I341" s="11">
        <v>763.22</v>
      </c>
      <c r="J341" s="16">
        <v>31.39</v>
      </c>
      <c r="K341" s="15"/>
      <c r="L341" s="11">
        <v>23957.48</v>
      </c>
    </row>
    <row r="342" spans="1:12" ht="36" customHeight="1">
      <c r="A342" s="3" t="s">
        <v>53</v>
      </c>
      <c r="B342" s="14" t="s">
        <v>53</v>
      </c>
      <c r="C342" s="14"/>
      <c r="D342" s="4" t="s">
        <v>448</v>
      </c>
      <c r="E342" s="14" t="s">
        <v>53</v>
      </c>
      <c r="F342" s="14"/>
      <c r="G342" s="14"/>
      <c r="H342" s="3" t="s">
        <v>53</v>
      </c>
      <c r="I342" s="10" t="s">
        <v>53</v>
      </c>
      <c r="J342" s="15" t="s">
        <v>53</v>
      </c>
      <c r="K342" s="15"/>
      <c r="L342" s="11">
        <v>216513.96</v>
      </c>
    </row>
    <row r="343" spans="1:12" ht="154" customHeight="1">
      <c r="A343" s="3">
        <v>277</v>
      </c>
      <c r="B343" s="14">
        <v>11201001009</v>
      </c>
      <c r="C343" s="14"/>
      <c r="D343" s="4" t="s">
        <v>439</v>
      </c>
      <c r="E343" s="14" t="s">
        <v>446</v>
      </c>
      <c r="F343" s="14"/>
      <c r="G343" s="14"/>
      <c r="H343" s="3" t="s">
        <v>94</v>
      </c>
      <c r="I343" s="11">
        <v>1262.45</v>
      </c>
      <c r="J343" s="16">
        <v>32.42</v>
      </c>
      <c r="K343" s="15"/>
      <c r="L343" s="11">
        <v>40928.629999999997</v>
      </c>
    </row>
    <row r="344" spans="1:12" ht="125" customHeight="1">
      <c r="A344" s="3">
        <v>278</v>
      </c>
      <c r="B344" s="14">
        <v>11201001010</v>
      </c>
      <c r="C344" s="14"/>
      <c r="D344" s="4" t="s">
        <v>439</v>
      </c>
      <c r="E344" s="14" t="s">
        <v>447</v>
      </c>
      <c r="F344" s="14"/>
      <c r="G344" s="14"/>
      <c r="H344" s="3" t="s">
        <v>94</v>
      </c>
      <c r="I344" s="11">
        <v>1420.85</v>
      </c>
      <c r="J344" s="16">
        <v>17</v>
      </c>
      <c r="K344" s="15"/>
      <c r="L344" s="11">
        <v>24154.45</v>
      </c>
    </row>
    <row r="345" spans="1:12" ht="154" customHeight="1">
      <c r="A345" s="3">
        <v>279</v>
      </c>
      <c r="B345" s="14">
        <v>11203003001</v>
      </c>
      <c r="C345" s="14"/>
      <c r="D345" s="4" t="s">
        <v>449</v>
      </c>
      <c r="E345" s="14" t="s">
        <v>450</v>
      </c>
      <c r="F345" s="14"/>
      <c r="G345" s="14"/>
      <c r="H345" s="3" t="s">
        <v>94</v>
      </c>
      <c r="I345" s="11">
        <v>1262.45</v>
      </c>
      <c r="J345" s="16">
        <v>119.95</v>
      </c>
      <c r="K345" s="15"/>
      <c r="L345" s="11">
        <v>151430.88</v>
      </c>
    </row>
    <row r="346" spans="1:12" ht="51" customHeight="1">
      <c r="A346" s="3" t="s">
        <v>53</v>
      </c>
      <c r="B346" s="14" t="s">
        <v>53</v>
      </c>
      <c r="C346" s="14"/>
      <c r="D346" s="4" t="s">
        <v>451</v>
      </c>
      <c r="E346" s="14" t="s">
        <v>53</v>
      </c>
      <c r="F346" s="14"/>
      <c r="G346" s="14"/>
      <c r="H346" s="3" t="s">
        <v>53</v>
      </c>
      <c r="I346" s="10" t="s">
        <v>53</v>
      </c>
      <c r="J346" s="15" t="s">
        <v>53</v>
      </c>
      <c r="K346" s="15"/>
      <c r="L346" s="11">
        <v>36868.15</v>
      </c>
    </row>
    <row r="347" spans="1:12" ht="125" customHeight="1">
      <c r="A347" s="3">
        <v>280</v>
      </c>
      <c r="B347" s="14">
        <v>11201001011</v>
      </c>
      <c r="C347" s="14"/>
      <c r="D347" s="4" t="s">
        <v>452</v>
      </c>
      <c r="E347" s="14" t="s">
        <v>453</v>
      </c>
      <c r="F347" s="14"/>
      <c r="G347" s="14"/>
      <c r="H347" s="3" t="s">
        <v>94</v>
      </c>
      <c r="I347" s="11">
        <v>288.56</v>
      </c>
      <c r="J347" s="16">
        <v>41.33</v>
      </c>
      <c r="K347" s="15"/>
      <c r="L347" s="11">
        <v>11926.18</v>
      </c>
    </row>
    <row r="348" spans="1:12" ht="125" customHeight="1">
      <c r="A348" s="3">
        <v>281</v>
      </c>
      <c r="B348" s="14">
        <v>11201001012</v>
      </c>
      <c r="C348" s="14"/>
      <c r="D348" s="4" t="s">
        <v>439</v>
      </c>
      <c r="E348" s="14" t="s">
        <v>447</v>
      </c>
      <c r="F348" s="14"/>
      <c r="G348" s="14"/>
      <c r="H348" s="3" t="s">
        <v>94</v>
      </c>
      <c r="I348" s="11">
        <v>288.56</v>
      </c>
      <c r="J348" s="16">
        <v>17</v>
      </c>
      <c r="K348" s="15"/>
      <c r="L348" s="11">
        <v>4905.5200000000004</v>
      </c>
    </row>
    <row r="349" spans="1:12" ht="154" customHeight="1">
      <c r="A349" s="3">
        <v>282</v>
      </c>
      <c r="B349" s="14">
        <v>11203003002</v>
      </c>
      <c r="C349" s="14"/>
      <c r="D349" s="4" t="s">
        <v>449</v>
      </c>
      <c r="E349" s="14" t="s">
        <v>450</v>
      </c>
      <c r="F349" s="14"/>
      <c r="G349" s="14"/>
      <c r="H349" s="3" t="s">
        <v>94</v>
      </c>
      <c r="I349" s="11">
        <v>167.04</v>
      </c>
      <c r="J349" s="16">
        <v>119.95</v>
      </c>
      <c r="K349" s="15"/>
      <c r="L349" s="11">
        <v>20036.45</v>
      </c>
    </row>
    <row r="350" spans="1:12" ht="51" customHeight="1">
      <c r="A350" s="3" t="s">
        <v>53</v>
      </c>
      <c r="B350" s="14" t="s">
        <v>53</v>
      </c>
      <c r="C350" s="14"/>
      <c r="D350" s="4" t="s">
        <v>454</v>
      </c>
      <c r="E350" s="14" t="s">
        <v>53</v>
      </c>
      <c r="F350" s="14"/>
      <c r="G350" s="14"/>
      <c r="H350" s="3" t="s">
        <v>53</v>
      </c>
      <c r="I350" s="10" t="s">
        <v>53</v>
      </c>
      <c r="J350" s="15" t="s">
        <v>53</v>
      </c>
      <c r="K350" s="15"/>
      <c r="L350" s="11">
        <v>1603585.6</v>
      </c>
    </row>
    <row r="351" spans="1:12" ht="154" customHeight="1">
      <c r="A351" s="3">
        <v>283</v>
      </c>
      <c r="B351" s="14">
        <v>11205001002</v>
      </c>
      <c r="C351" s="14"/>
      <c r="D351" s="4" t="s">
        <v>455</v>
      </c>
      <c r="E351" s="14" t="s">
        <v>456</v>
      </c>
      <c r="F351" s="14"/>
      <c r="G351" s="14"/>
      <c r="H351" s="3" t="s">
        <v>94</v>
      </c>
      <c r="I351" s="11">
        <v>19831.63</v>
      </c>
      <c r="J351" s="16">
        <v>80.86</v>
      </c>
      <c r="K351" s="15"/>
      <c r="L351" s="11">
        <v>1603585.6</v>
      </c>
    </row>
    <row r="352" spans="1:12" ht="66" customHeight="1">
      <c r="A352" s="3" t="s">
        <v>53</v>
      </c>
      <c r="B352" s="14" t="s">
        <v>53</v>
      </c>
      <c r="C352" s="14"/>
      <c r="D352" s="4" t="s">
        <v>457</v>
      </c>
      <c r="E352" s="14" t="s">
        <v>53</v>
      </c>
      <c r="F352" s="14"/>
      <c r="G352" s="14"/>
      <c r="H352" s="3" t="s">
        <v>53</v>
      </c>
      <c r="I352" s="10" t="s">
        <v>53</v>
      </c>
      <c r="J352" s="15" t="s">
        <v>53</v>
      </c>
      <c r="K352" s="15"/>
      <c r="L352" s="11">
        <v>25599.87</v>
      </c>
    </row>
    <row r="353" spans="1:12" ht="154" customHeight="1">
      <c r="A353" s="3">
        <v>284</v>
      </c>
      <c r="B353" s="14">
        <v>11403003004</v>
      </c>
      <c r="C353" s="14"/>
      <c r="D353" s="4" t="s">
        <v>441</v>
      </c>
      <c r="E353" s="14" t="s">
        <v>458</v>
      </c>
      <c r="F353" s="14"/>
      <c r="G353" s="14"/>
      <c r="H353" s="3" t="s">
        <v>94</v>
      </c>
      <c r="I353" s="11">
        <v>981.59</v>
      </c>
      <c r="J353" s="16">
        <v>26.08</v>
      </c>
      <c r="K353" s="15"/>
      <c r="L353" s="11">
        <v>25599.87</v>
      </c>
    </row>
    <row r="354" spans="1:12" ht="36" customHeight="1">
      <c r="A354" s="3" t="s">
        <v>53</v>
      </c>
      <c r="B354" s="14" t="s">
        <v>53</v>
      </c>
      <c r="C354" s="14"/>
      <c r="D354" s="4" t="s">
        <v>459</v>
      </c>
      <c r="E354" s="14" t="s">
        <v>53</v>
      </c>
      <c r="F354" s="14"/>
      <c r="G354" s="14"/>
      <c r="H354" s="3" t="s">
        <v>53</v>
      </c>
      <c r="I354" s="10" t="s">
        <v>53</v>
      </c>
      <c r="J354" s="15" t="s">
        <v>53</v>
      </c>
      <c r="K354" s="15"/>
      <c r="L354" s="11">
        <v>35272.69</v>
      </c>
    </row>
    <row r="355" spans="1:12" ht="139" customHeight="1">
      <c r="A355" s="3">
        <v>285</v>
      </c>
      <c r="B355" s="14">
        <v>11201001013</v>
      </c>
      <c r="C355" s="14"/>
      <c r="D355" s="4" t="s">
        <v>439</v>
      </c>
      <c r="E355" s="14" t="s">
        <v>460</v>
      </c>
      <c r="F355" s="14"/>
      <c r="G355" s="14"/>
      <c r="H355" s="3" t="s">
        <v>94</v>
      </c>
      <c r="I355" s="11">
        <v>126.1</v>
      </c>
      <c r="J355" s="16">
        <v>12.14</v>
      </c>
      <c r="K355" s="15"/>
      <c r="L355" s="11">
        <v>1530.85</v>
      </c>
    </row>
    <row r="356" spans="1:12" ht="110" customHeight="1">
      <c r="A356" s="3">
        <v>286</v>
      </c>
      <c r="B356" s="14">
        <v>11205001003</v>
      </c>
      <c r="C356" s="14"/>
      <c r="D356" s="4" t="s">
        <v>455</v>
      </c>
      <c r="E356" s="14" t="s">
        <v>461</v>
      </c>
      <c r="F356" s="14"/>
      <c r="G356" s="14"/>
      <c r="H356" s="3" t="s">
        <v>94</v>
      </c>
      <c r="I356" s="11">
        <v>126.1</v>
      </c>
      <c r="J356" s="16">
        <v>267.58</v>
      </c>
      <c r="K356" s="15"/>
      <c r="L356" s="11">
        <v>33741.839999999997</v>
      </c>
    </row>
    <row r="357" spans="1:12" ht="23" customHeight="1">
      <c r="A357" s="3" t="s">
        <v>53</v>
      </c>
      <c r="B357" s="14" t="s">
        <v>53</v>
      </c>
      <c r="C357" s="14"/>
      <c r="D357" s="4" t="s">
        <v>462</v>
      </c>
      <c r="E357" s="14" t="s">
        <v>53</v>
      </c>
      <c r="F357" s="14"/>
      <c r="G357" s="14"/>
      <c r="H357" s="3" t="s">
        <v>53</v>
      </c>
      <c r="I357" s="10" t="s">
        <v>53</v>
      </c>
      <c r="J357" s="15" t="s">
        <v>53</v>
      </c>
      <c r="K357" s="15"/>
      <c r="L357" s="11">
        <v>1850.32</v>
      </c>
    </row>
    <row r="358" spans="1:12" ht="139" customHeight="1">
      <c r="A358" s="3">
        <v>287</v>
      </c>
      <c r="B358" s="14">
        <v>11201001014</v>
      </c>
      <c r="C358" s="14"/>
      <c r="D358" s="4" t="s">
        <v>463</v>
      </c>
      <c r="E358" s="14" t="s">
        <v>464</v>
      </c>
      <c r="F358" s="14"/>
      <c r="G358" s="14"/>
      <c r="H358" s="3" t="s">
        <v>94</v>
      </c>
      <c r="I358" s="11">
        <v>154.58000000000001</v>
      </c>
      <c r="J358" s="16">
        <v>11.97</v>
      </c>
      <c r="K358" s="15"/>
      <c r="L358" s="11">
        <v>1850.32</v>
      </c>
    </row>
    <row r="359" spans="1:12" ht="36" customHeight="1">
      <c r="A359" s="3" t="s">
        <v>53</v>
      </c>
      <c r="B359" s="14" t="s">
        <v>53</v>
      </c>
      <c r="C359" s="14"/>
      <c r="D359" s="4" t="s">
        <v>465</v>
      </c>
      <c r="E359" s="14" t="s">
        <v>53</v>
      </c>
      <c r="F359" s="14"/>
      <c r="G359" s="14"/>
      <c r="H359" s="3" t="s">
        <v>53</v>
      </c>
      <c r="I359" s="10" t="s">
        <v>53</v>
      </c>
      <c r="J359" s="15" t="s">
        <v>53</v>
      </c>
      <c r="K359" s="15"/>
      <c r="L359" s="11">
        <v>2532.48</v>
      </c>
    </row>
    <row r="360" spans="1:12" ht="169" customHeight="1">
      <c r="A360" s="3">
        <v>288</v>
      </c>
      <c r="B360" s="14">
        <v>11506003001</v>
      </c>
      <c r="C360" s="14"/>
      <c r="D360" s="4" t="s">
        <v>466</v>
      </c>
      <c r="E360" s="14" t="s">
        <v>467</v>
      </c>
      <c r="F360" s="14"/>
      <c r="G360" s="14"/>
      <c r="H360" s="3" t="s">
        <v>468</v>
      </c>
      <c r="I360" s="11">
        <v>48</v>
      </c>
      <c r="J360" s="16">
        <v>52.76</v>
      </c>
      <c r="K360" s="15"/>
      <c r="L360" s="11">
        <v>2532.48</v>
      </c>
    </row>
    <row r="361" spans="1:12" ht="36" customHeight="1">
      <c r="A361" s="3" t="s">
        <v>53</v>
      </c>
      <c r="B361" s="14" t="s">
        <v>53</v>
      </c>
      <c r="C361" s="14"/>
      <c r="D361" s="4" t="s">
        <v>469</v>
      </c>
      <c r="E361" s="14" t="s">
        <v>53</v>
      </c>
      <c r="F361" s="14"/>
      <c r="G361" s="14"/>
      <c r="H361" s="3" t="s">
        <v>53</v>
      </c>
      <c r="I361" s="10" t="s">
        <v>53</v>
      </c>
      <c r="J361" s="15" t="s">
        <v>53</v>
      </c>
      <c r="K361" s="15"/>
      <c r="L361" s="11">
        <v>19000.080000000002</v>
      </c>
    </row>
    <row r="362" spans="1:12" ht="139" customHeight="1">
      <c r="A362" s="3">
        <v>289</v>
      </c>
      <c r="B362" s="14">
        <v>11203003003</v>
      </c>
      <c r="C362" s="14"/>
      <c r="D362" s="4" t="s">
        <v>449</v>
      </c>
      <c r="E362" s="14" t="s">
        <v>470</v>
      </c>
      <c r="F362" s="14"/>
      <c r="G362" s="14"/>
      <c r="H362" s="3" t="s">
        <v>94</v>
      </c>
      <c r="I362" s="11">
        <v>158.4</v>
      </c>
      <c r="J362" s="16">
        <v>119.95</v>
      </c>
      <c r="K362" s="15"/>
      <c r="L362" s="11">
        <v>19000.080000000002</v>
      </c>
    </row>
    <row r="363" spans="1:12" ht="23" customHeight="1">
      <c r="A363" s="3" t="s">
        <v>53</v>
      </c>
      <c r="B363" s="14" t="s">
        <v>53</v>
      </c>
      <c r="C363" s="14"/>
      <c r="D363" s="4" t="s">
        <v>471</v>
      </c>
      <c r="E363" s="14" t="s">
        <v>53</v>
      </c>
      <c r="F363" s="14"/>
      <c r="G363" s="14"/>
      <c r="H363" s="3" t="s">
        <v>53</v>
      </c>
      <c r="I363" s="10" t="s">
        <v>53</v>
      </c>
      <c r="J363" s="15" t="s">
        <v>53</v>
      </c>
      <c r="K363" s="15"/>
      <c r="L363" s="11">
        <v>18087.62</v>
      </c>
    </row>
    <row r="364" spans="1:12" ht="154" customHeight="1">
      <c r="A364" s="3">
        <v>290</v>
      </c>
      <c r="B364" s="14">
        <v>11201001015</v>
      </c>
      <c r="C364" s="14"/>
      <c r="D364" s="4" t="s">
        <v>472</v>
      </c>
      <c r="E364" s="14" t="s">
        <v>473</v>
      </c>
      <c r="F364" s="14"/>
      <c r="G364" s="14"/>
      <c r="H364" s="3" t="s">
        <v>94</v>
      </c>
      <c r="I364" s="11">
        <v>955.5</v>
      </c>
      <c r="J364" s="16">
        <v>16.309999999999999</v>
      </c>
      <c r="K364" s="15"/>
      <c r="L364" s="11">
        <v>15584.21</v>
      </c>
    </row>
    <row r="365" spans="1:12" ht="125" customHeight="1">
      <c r="A365" s="3">
        <v>291</v>
      </c>
      <c r="B365" s="14">
        <v>11201001016</v>
      </c>
      <c r="C365" s="14"/>
      <c r="D365" s="4" t="s">
        <v>474</v>
      </c>
      <c r="E365" s="14" t="s">
        <v>475</v>
      </c>
      <c r="F365" s="14"/>
      <c r="G365" s="14"/>
      <c r="H365" s="3" t="s">
        <v>94</v>
      </c>
      <c r="I365" s="11">
        <v>955.5</v>
      </c>
      <c r="J365" s="16">
        <v>2.62</v>
      </c>
      <c r="K365" s="15"/>
      <c r="L365" s="11">
        <v>2503.41</v>
      </c>
    </row>
    <row r="366" spans="1:12" ht="23" customHeight="1">
      <c r="A366" s="3" t="s">
        <v>53</v>
      </c>
      <c r="B366" s="14" t="s">
        <v>53</v>
      </c>
      <c r="C366" s="14"/>
      <c r="D366" s="4" t="s">
        <v>476</v>
      </c>
      <c r="E366" s="14" t="s">
        <v>53</v>
      </c>
      <c r="F366" s="14"/>
      <c r="G366" s="14"/>
      <c r="H366" s="3" t="s">
        <v>53</v>
      </c>
      <c r="I366" s="10" t="s">
        <v>53</v>
      </c>
      <c r="J366" s="15" t="s">
        <v>53</v>
      </c>
      <c r="K366" s="15"/>
      <c r="L366" s="11">
        <v>3090212.21</v>
      </c>
    </row>
    <row r="367" spans="1:12" ht="36" customHeight="1">
      <c r="A367" s="3" t="s">
        <v>53</v>
      </c>
      <c r="B367" s="14" t="s">
        <v>53</v>
      </c>
      <c r="C367" s="14"/>
      <c r="D367" s="4" t="s">
        <v>477</v>
      </c>
      <c r="E367" s="14" t="s">
        <v>53</v>
      </c>
      <c r="F367" s="14"/>
      <c r="G367" s="14"/>
      <c r="H367" s="3" t="s">
        <v>53</v>
      </c>
      <c r="I367" s="10" t="s">
        <v>53</v>
      </c>
      <c r="J367" s="15" t="s">
        <v>53</v>
      </c>
      <c r="K367" s="15"/>
      <c r="L367" s="11">
        <v>211817.28</v>
      </c>
    </row>
    <row r="368" spans="1:12" ht="198" customHeight="1">
      <c r="A368" s="3">
        <v>292</v>
      </c>
      <c r="B368" s="14">
        <v>11201001017</v>
      </c>
      <c r="C368" s="14"/>
      <c r="D368" s="4" t="s">
        <v>439</v>
      </c>
      <c r="E368" s="14" t="s">
        <v>478</v>
      </c>
      <c r="F368" s="14"/>
      <c r="G368" s="14"/>
      <c r="H368" s="3" t="s">
        <v>94</v>
      </c>
      <c r="I368" s="11">
        <v>1771.64</v>
      </c>
      <c r="J368" s="16">
        <v>46.65</v>
      </c>
      <c r="K368" s="15"/>
      <c r="L368" s="11">
        <v>82647.009999999995</v>
      </c>
    </row>
    <row r="369" spans="1:12" ht="125" customHeight="1">
      <c r="A369" s="3">
        <v>293</v>
      </c>
      <c r="B369" s="14">
        <v>11201001018</v>
      </c>
      <c r="C369" s="14"/>
      <c r="D369" s="4" t="s">
        <v>439</v>
      </c>
      <c r="E369" s="14" t="s">
        <v>447</v>
      </c>
      <c r="F369" s="14"/>
      <c r="G369" s="14"/>
      <c r="H369" s="3" t="s">
        <v>94</v>
      </c>
      <c r="I369" s="11">
        <v>1771.64</v>
      </c>
      <c r="J369" s="16">
        <v>17</v>
      </c>
      <c r="K369" s="15"/>
      <c r="L369" s="11">
        <v>30117.88</v>
      </c>
    </row>
    <row r="370" spans="1:12" ht="213" customHeight="1">
      <c r="A370" s="3">
        <v>294</v>
      </c>
      <c r="B370" s="14">
        <v>11403001001</v>
      </c>
      <c r="C370" s="14"/>
      <c r="D370" s="4" t="s">
        <v>441</v>
      </c>
      <c r="E370" s="14" t="s">
        <v>479</v>
      </c>
      <c r="F370" s="14"/>
      <c r="G370" s="14"/>
      <c r="H370" s="3" t="s">
        <v>94</v>
      </c>
      <c r="I370" s="11">
        <v>1771.64</v>
      </c>
      <c r="J370" s="16">
        <v>55.91</v>
      </c>
      <c r="K370" s="15"/>
      <c r="L370" s="11">
        <v>99052.39</v>
      </c>
    </row>
    <row r="371" spans="1:12" ht="66" customHeight="1">
      <c r="A371" s="3" t="s">
        <v>53</v>
      </c>
      <c r="B371" s="14" t="s">
        <v>53</v>
      </c>
      <c r="C371" s="14"/>
      <c r="D371" s="4" t="s">
        <v>480</v>
      </c>
      <c r="E371" s="14" t="s">
        <v>53</v>
      </c>
      <c r="F371" s="14"/>
      <c r="G371" s="14"/>
      <c r="H371" s="3" t="s">
        <v>53</v>
      </c>
      <c r="I371" s="10" t="s">
        <v>53</v>
      </c>
      <c r="J371" s="15" t="s">
        <v>53</v>
      </c>
      <c r="K371" s="15"/>
      <c r="L371" s="11">
        <v>119133.17</v>
      </c>
    </row>
    <row r="372" spans="1:12" ht="198" customHeight="1">
      <c r="A372" s="3">
        <v>295</v>
      </c>
      <c r="B372" s="14">
        <v>11201001019</v>
      </c>
      <c r="C372" s="14"/>
      <c r="D372" s="4" t="s">
        <v>439</v>
      </c>
      <c r="E372" s="14" t="s">
        <v>478</v>
      </c>
      <c r="F372" s="14"/>
      <c r="G372" s="14"/>
      <c r="H372" s="3" t="s">
        <v>94</v>
      </c>
      <c r="I372" s="11">
        <v>996.43</v>
      </c>
      <c r="J372" s="16">
        <v>46.65</v>
      </c>
      <c r="K372" s="15"/>
      <c r="L372" s="11">
        <v>46483.46</v>
      </c>
    </row>
    <row r="373" spans="1:12" ht="125" customHeight="1">
      <c r="A373" s="3">
        <v>296</v>
      </c>
      <c r="B373" s="14">
        <v>11201001020</v>
      </c>
      <c r="C373" s="14"/>
      <c r="D373" s="4" t="s">
        <v>439</v>
      </c>
      <c r="E373" s="14" t="s">
        <v>447</v>
      </c>
      <c r="F373" s="14"/>
      <c r="G373" s="14"/>
      <c r="H373" s="3" t="s">
        <v>94</v>
      </c>
      <c r="I373" s="11">
        <v>996.43</v>
      </c>
      <c r="J373" s="16">
        <v>17</v>
      </c>
      <c r="K373" s="15"/>
      <c r="L373" s="11">
        <v>16939.310000000001</v>
      </c>
    </row>
    <row r="374" spans="1:12" ht="213" customHeight="1">
      <c r="A374" s="3">
        <v>297</v>
      </c>
      <c r="B374" s="14">
        <v>11403001002</v>
      </c>
      <c r="C374" s="14"/>
      <c r="D374" s="4" t="s">
        <v>441</v>
      </c>
      <c r="E374" s="14" t="s">
        <v>479</v>
      </c>
      <c r="F374" s="14"/>
      <c r="G374" s="14"/>
      <c r="H374" s="3" t="s">
        <v>94</v>
      </c>
      <c r="I374" s="11">
        <v>996.43</v>
      </c>
      <c r="J374" s="16">
        <v>55.91</v>
      </c>
      <c r="K374" s="15"/>
      <c r="L374" s="11">
        <v>55710.400000000001</v>
      </c>
    </row>
    <row r="375" spans="1:12" ht="36" customHeight="1">
      <c r="A375" s="3" t="s">
        <v>53</v>
      </c>
      <c r="B375" s="14" t="s">
        <v>53</v>
      </c>
      <c r="C375" s="14"/>
      <c r="D375" s="4" t="s">
        <v>481</v>
      </c>
      <c r="E375" s="14" t="s">
        <v>53</v>
      </c>
      <c r="F375" s="14"/>
      <c r="G375" s="14"/>
      <c r="H375" s="3" t="s">
        <v>53</v>
      </c>
      <c r="I375" s="10" t="s">
        <v>53</v>
      </c>
      <c r="J375" s="15" t="s">
        <v>53</v>
      </c>
      <c r="K375" s="15"/>
      <c r="L375" s="11">
        <v>2690930.67</v>
      </c>
    </row>
    <row r="376" spans="1:12" ht="198" customHeight="1">
      <c r="A376" s="3">
        <v>298</v>
      </c>
      <c r="B376" s="14">
        <v>11205001004</v>
      </c>
      <c r="C376" s="14"/>
      <c r="D376" s="4" t="s">
        <v>482</v>
      </c>
      <c r="E376" s="14" t="s">
        <v>483</v>
      </c>
      <c r="F376" s="14"/>
      <c r="G376" s="14"/>
      <c r="H376" s="3" t="s">
        <v>94</v>
      </c>
      <c r="I376" s="11">
        <v>21522.28</v>
      </c>
      <c r="J376" s="16">
        <v>125.03</v>
      </c>
      <c r="K376" s="15"/>
      <c r="L376" s="11">
        <v>2690930.67</v>
      </c>
    </row>
    <row r="377" spans="1:12" ht="23" customHeight="1">
      <c r="A377" s="3" t="s">
        <v>53</v>
      </c>
      <c r="B377" s="14" t="s">
        <v>53</v>
      </c>
      <c r="C377" s="14"/>
      <c r="D377" s="4" t="s">
        <v>484</v>
      </c>
      <c r="E377" s="14" t="s">
        <v>53</v>
      </c>
      <c r="F377" s="14"/>
      <c r="G377" s="14"/>
      <c r="H377" s="3" t="s">
        <v>53</v>
      </c>
      <c r="I377" s="10" t="s">
        <v>53</v>
      </c>
      <c r="J377" s="15" t="s">
        <v>53</v>
      </c>
      <c r="K377" s="15"/>
      <c r="L377" s="11">
        <v>68331.09</v>
      </c>
    </row>
    <row r="378" spans="1:12" ht="154" customHeight="1">
      <c r="A378" s="3">
        <v>299</v>
      </c>
      <c r="B378" s="14">
        <v>11201001021</v>
      </c>
      <c r="C378" s="14"/>
      <c r="D378" s="4" t="s">
        <v>485</v>
      </c>
      <c r="E378" s="14" t="s">
        <v>473</v>
      </c>
      <c r="F378" s="14"/>
      <c r="G378" s="14"/>
      <c r="H378" s="3" t="s">
        <v>94</v>
      </c>
      <c r="I378" s="11">
        <v>2768.87</v>
      </c>
      <c r="J378" s="16">
        <v>16.309999999999999</v>
      </c>
      <c r="K378" s="15"/>
      <c r="L378" s="11">
        <v>45160.27</v>
      </c>
    </row>
    <row r="379" spans="1:12" ht="125" customHeight="1">
      <c r="A379" s="3">
        <v>300</v>
      </c>
      <c r="B379" s="14">
        <v>11201001022</v>
      </c>
      <c r="C379" s="14"/>
      <c r="D379" s="4" t="s">
        <v>486</v>
      </c>
      <c r="E379" s="14" t="s">
        <v>475</v>
      </c>
      <c r="F379" s="14"/>
      <c r="G379" s="14"/>
      <c r="H379" s="3" t="s">
        <v>94</v>
      </c>
      <c r="I379" s="11">
        <v>2768.87</v>
      </c>
      <c r="J379" s="16">
        <v>4.71</v>
      </c>
      <c r="K379" s="15"/>
      <c r="L379" s="11">
        <v>13041.38</v>
      </c>
    </row>
    <row r="380" spans="1:12" ht="125" customHeight="1">
      <c r="A380" s="3">
        <v>301</v>
      </c>
      <c r="B380" s="14">
        <v>10903004001</v>
      </c>
      <c r="C380" s="14"/>
      <c r="D380" s="4" t="s">
        <v>487</v>
      </c>
      <c r="E380" s="14" t="s">
        <v>488</v>
      </c>
      <c r="F380" s="14"/>
      <c r="G380" s="14"/>
      <c r="H380" s="3" t="s">
        <v>273</v>
      </c>
      <c r="I380" s="11">
        <v>461.47800000000001</v>
      </c>
      <c r="J380" s="16">
        <v>21.95</v>
      </c>
      <c r="K380" s="15"/>
      <c r="L380" s="11">
        <v>10129.44</v>
      </c>
    </row>
    <row r="381" spans="1:12" ht="23" customHeight="1">
      <c r="A381" s="3" t="s">
        <v>53</v>
      </c>
      <c r="B381" s="14" t="s">
        <v>53</v>
      </c>
      <c r="C381" s="14"/>
      <c r="D381" s="4" t="s">
        <v>34</v>
      </c>
      <c r="E381" s="14" t="s">
        <v>53</v>
      </c>
      <c r="F381" s="14"/>
      <c r="G381" s="14"/>
      <c r="H381" s="3" t="s">
        <v>53</v>
      </c>
      <c r="I381" s="10" t="s">
        <v>53</v>
      </c>
      <c r="J381" s="15" t="s">
        <v>53</v>
      </c>
      <c r="K381" s="15"/>
      <c r="L381" s="11">
        <v>3232762.49</v>
      </c>
    </row>
    <row r="382" spans="1:12" ht="36" customHeight="1">
      <c r="A382" s="3" t="s">
        <v>53</v>
      </c>
      <c r="B382" s="14" t="s">
        <v>53</v>
      </c>
      <c r="C382" s="14"/>
      <c r="D382" s="4" t="s">
        <v>489</v>
      </c>
      <c r="E382" s="14" t="s">
        <v>53</v>
      </c>
      <c r="F382" s="14"/>
      <c r="G382" s="14"/>
      <c r="H382" s="3" t="s">
        <v>53</v>
      </c>
      <c r="I382" s="10" t="s">
        <v>53</v>
      </c>
      <c r="J382" s="15" t="s">
        <v>53</v>
      </c>
      <c r="K382" s="15"/>
      <c r="L382" s="11">
        <v>1331131.44</v>
      </c>
    </row>
    <row r="383" spans="1:12" ht="125" customHeight="1">
      <c r="A383" s="3">
        <v>302</v>
      </c>
      <c r="B383" s="14">
        <v>11403003005</v>
      </c>
      <c r="C383" s="14"/>
      <c r="D383" s="4" t="s">
        <v>490</v>
      </c>
      <c r="E383" s="14" t="s">
        <v>491</v>
      </c>
      <c r="F383" s="14"/>
      <c r="G383" s="14"/>
      <c r="H383" s="3" t="s">
        <v>94</v>
      </c>
      <c r="I383" s="11">
        <v>33699.53</v>
      </c>
      <c r="J383" s="16">
        <v>1.54</v>
      </c>
      <c r="K383" s="15"/>
      <c r="L383" s="11">
        <v>51897.279999999999</v>
      </c>
    </row>
    <row r="384" spans="1:12" ht="125" customHeight="1">
      <c r="A384" s="3">
        <v>303</v>
      </c>
      <c r="B384" s="14">
        <v>11403003006</v>
      </c>
      <c r="C384" s="14"/>
      <c r="D384" s="4" t="s">
        <v>492</v>
      </c>
      <c r="E384" s="14" t="s">
        <v>493</v>
      </c>
      <c r="F384" s="14"/>
      <c r="G384" s="14"/>
      <c r="H384" s="3" t="s">
        <v>94</v>
      </c>
      <c r="I384" s="11">
        <v>33699.53</v>
      </c>
      <c r="J384" s="16">
        <v>15.51</v>
      </c>
      <c r="K384" s="15"/>
      <c r="L384" s="11">
        <v>522679.71</v>
      </c>
    </row>
    <row r="385" spans="1:12" ht="139" customHeight="1">
      <c r="A385" s="3">
        <v>304</v>
      </c>
      <c r="B385" s="14">
        <v>11404002001</v>
      </c>
      <c r="C385" s="14"/>
      <c r="D385" s="4" t="s">
        <v>494</v>
      </c>
      <c r="E385" s="14" t="s">
        <v>495</v>
      </c>
      <c r="F385" s="14"/>
      <c r="G385" s="14"/>
      <c r="H385" s="3" t="s">
        <v>94</v>
      </c>
      <c r="I385" s="11">
        <v>33699.53</v>
      </c>
      <c r="J385" s="16">
        <v>22.45</v>
      </c>
      <c r="K385" s="15"/>
      <c r="L385" s="11">
        <v>756554.45</v>
      </c>
    </row>
    <row r="386" spans="1:12" ht="66" customHeight="1">
      <c r="A386" s="3" t="s">
        <v>53</v>
      </c>
      <c r="B386" s="14" t="s">
        <v>53</v>
      </c>
      <c r="C386" s="14"/>
      <c r="D386" s="4" t="s">
        <v>496</v>
      </c>
      <c r="E386" s="14" t="s">
        <v>53</v>
      </c>
      <c r="F386" s="14"/>
      <c r="G386" s="14"/>
      <c r="H386" s="3" t="s">
        <v>53</v>
      </c>
      <c r="I386" s="10" t="s">
        <v>53</v>
      </c>
      <c r="J386" s="15" t="s">
        <v>53</v>
      </c>
      <c r="K386" s="15"/>
      <c r="L386" s="11">
        <v>28686.93</v>
      </c>
    </row>
    <row r="387" spans="1:12" ht="125" customHeight="1">
      <c r="A387" s="3">
        <v>305</v>
      </c>
      <c r="B387" s="14">
        <v>11403003007</v>
      </c>
      <c r="C387" s="14"/>
      <c r="D387" s="4" t="s">
        <v>490</v>
      </c>
      <c r="E387" s="14" t="s">
        <v>497</v>
      </c>
      <c r="F387" s="14"/>
      <c r="G387" s="14"/>
      <c r="H387" s="3" t="s">
        <v>94</v>
      </c>
      <c r="I387" s="11">
        <v>477.32</v>
      </c>
      <c r="J387" s="16">
        <v>1.54</v>
      </c>
      <c r="K387" s="15"/>
      <c r="L387" s="11">
        <v>735.07</v>
      </c>
    </row>
    <row r="388" spans="1:12" ht="125" customHeight="1">
      <c r="A388" s="3">
        <v>306</v>
      </c>
      <c r="B388" s="14">
        <v>10902002002</v>
      </c>
      <c r="C388" s="14"/>
      <c r="D388" s="4" t="s">
        <v>498</v>
      </c>
      <c r="E388" s="14" t="s">
        <v>499</v>
      </c>
      <c r="F388" s="14"/>
      <c r="G388" s="14"/>
      <c r="H388" s="3" t="s">
        <v>94</v>
      </c>
      <c r="I388" s="11">
        <v>477.32</v>
      </c>
      <c r="J388" s="16">
        <v>17.3</v>
      </c>
      <c r="K388" s="15"/>
      <c r="L388" s="11">
        <v>8257.64</v>
      </c>
    </row>
    <row r="389" spans="1:12" ht="125" customHeight="1">
      <c r="A389" s="3">
        <v>307</v>
      </c>
      <c r="B389" s="14">
        <v>11403003008</v>
      </c>
      <c r="C389" s="14"/>
      <c r="D389" s="4" t="s">
        <v>492</v>
      </c>
      <c r="E389" s="14" t="s">
        <v>500</v>
      </c>
      <c r="F389" s="14"/>
      <c r="G389" s="14"/>
      <c r="H389" s="3" t="s">
        <v>94</v>
      </c>
      <c r="I389" s="11">
        <v>477.32</v>
      </c>
      <c r="J389" s="16">
        <v>15.51</v>
      </c>
      <c r="K389" s="15"/>
      <c r="L389" s="11">
        <v>7403.23</v>
      </c>
    </row>
    <row r="390" spans="1:12" ht="154" customHeight="1">
      <c r="A390" s="3">
        <v>308</v>
      </c>
      <c r="B390" s="14">
        <v>11404002002</v>
      </c>
      <c r="C390" s="14"/>
      <c r="D390" s="4" t="s">
        <v>494</v>
      </c>
      <c r="E390" s="14" t="s">
        <v>501</v>
      </c>
      <c r="F390" s="14"/>
      <c r="G390" s="14"/>
      <c r="H390" s="3" t="s">
        <v>94</v>
      </c>
      <c r="I390" s="11">
        <v>477.32</v>
      </c>
      <c r="J390" s="16">
        <v>25.75</v>
      </c>
      <c r="K390" s="15"/>
      <c r="L390" s="11">
        <v>12290.99</v>
      </c>
    </row>
    <row r="391" spans="1:12" ht="66" customHeight="1">
      <c r="A391" s="3" t="s">
        <v>53</v>
      </c>
      <c r="B391" s="14" t="s">
        <v>53</v>
      </c>
      <c r="C391" s="14"/>
      <c r="D391" s="4" t="s">
        <v>502</v>
      </c>
      <c r="E391" s="14" t="s">
        <v>53</v>
      </c>
      <c r="F391" s="14"/>
      <c r="G391" s="14"/>
      <c r="H391" s="3" t="s">
        <v>53</v>
      </c>
      <c r="I391" s="10" t="s">
        <v>53</v>
      </c>
      <c r="J391" s="15" t="s">
        <v>53</v>
      </c>
      <c r="K391" s="15"/>
      <c r="L391" s="11">
        <v>1357312.16</v>
      </c>
    </row>
    <row r="392" spans="1:12" ht="125" customHeight="1">
      <c r="A392" s="3">
        <v>309</v>
      </c>
      <c r="B392" s="14">
        <v>11403003009</v>
      </c>
      <c r="C392" s="14"/>
      <c r="D392" s="4" t="s">
        <v>490</v>
      </c>
      <c r="E392" s="14" t="s">
        <v>491</v>
      </c>
      <c r="F392" s="14"/>
      <c r="G392" s="14"/>
      <c r="H392" s="3" t="s">
        <v>94</v>
      </c>
      <c r="I392" s="11">
        <v>32643.39</v>
      </c>
      <c r="J392" s="16">
        <v>1.54</v>
      </c>
      <c r="K392" s="15"/>
      <c r="L392" s="11">
        <v>50270.82</v>
      </c>
    </row>
    <row r="393" spans="1:12" ht="169" customHeight="1">
      <c r="A393" s="3">
        <v>310</v>
      </c>
      <c r="B393" s="14">
        <v>11404002003</v>
      </c>
      <c r="C393" s="14"/>
      <c r="D393" s="4" t="s">
        <v>494</v>
      </c>
      <c r="E393" s="14" t="s">
        <v>503</v>
      </c>
      <c r="F393" s="14"/>
      <c r="G393" s="14"/>
      <c r="H393" s="3" t="s">
        <v>94</v>
      </c>
      <c r="I393" s="11">
        <v>32643.39</v>
      </c>
      <c r="J393" s="16">
        <v>40.04</v>
      </c>
      <c r="K393" s="15"/>
      <c r="L393" s="11">
        <v>1307041.3400000001</v>
      </c>
    </row>
    <row r="394" spans="1:12" ht="36" customHeight="1">
      <c r="A394" s="3" t="s">
        <v>53</v>
      </c>
      <c r="B394" s="14" t="s">
        <v>53</v>
      </c>
      <c r="C394" s="14"/>
      <c r="D394" s="4" t="s">
        <v>504</v>
      </c>
      <c r="E394" s="14" t="s">
        <v>505</v>
      </c>
      <c r="F394" s="14"/>
      <c r="G394" s="14"/>
      <c r="H394" s="3" t="s">
        <v>53</v>
      </c>
      <c r="I394" s="10" t="s">
        <v>53</v>
      </c>
      <c r="J394" s="15" t="s">
        <v>53</v>
      </c>
      <c r="K394" s="15"/>
      <c r="L394" s="11">
        <v>315552.15999999997</v>
      </c>
    </row>
    <row r="395" spans="1:12" ht="154" customHeight="1">
      <c r="A395" s="3">
        <v>311</v>
      </c>
      <c r="B395" s="14">
        <v>11302001001</v>
      </c>
      <c r="C395" s="14"/>
      <c r="D395" s="4" t="s">
        <v>506</v>
      </c>
      <c r="E395" s="14" t="s">
        <v>507</v>
      </c>
      <c r="F395" s="14"/>
      <c r="G395" s="14"/>
      <c r="H395" s="3" t="s">
        <v>94</v>
      </c>
      <c r="I395" s="11">
        <v>1805.46</v>
      </c>
      <c r="J395" s="16">
        <v>134.26</v>
      </c>
      <c r="K395" s="15"/>
      <c r="L395" s="11">
        <v>242401.06</v>
      </c>
    </row>
    <row r="396" spans="1:12" ht="183" customHeight="1">
      <c r="A396" s="3">
        <v>312</v>
      </c>
      <c r="B396" s="14">
        <v>11302001002</v>
      </c>
      <c r="C396" s="14"/>
      <c r="D396" s="4" t="s">
        <v>508</v>
      </c>
      <c r="E396" s="14" t="s">
        <v>509</v>
      </c>
      <c r="F396" s="14"/>
      <c r="G396" s="14"/>
      <c r="H396" s="3" t="s">
        <v>192</v>
      </c>
      <c r="I396" s="11">
        <v>10.44</v>
      </c>
      <c r="J396" s="16">
        <v>7006.81</v>
      </c>
      <c r="K396" s="15"/>
      <c r="L396" s="11">
        <v>73151.100000000006</v>
      </c>
    </row>
    <row r="397" spans="1:12" ht="51" customHeight="1">
      <c r="A397" s="3" t="s">
        <v>53</v>
      </c>
      <c r="B397" s="14" t="s">
        <v>53</v>
      </c>
      <c r="C397" s="14"/>
      <c r="D397" s="4" t="s">
        <v>510</v>
      </c>
      <c r="E397" s="14" t="s">
        <v>511</v>
      </c>
      <c r="F397" s="14"/>
      <c r="G397" s="14"/>
      <c r="H397" s="3" t="s">
        <v>53</v>
      </c>
      <c r="I397" s="10" t="s">
        <v>53</v>
      </c>
      <c r="J397" s="15" t="s">
        <v>53</v>
      </c>
      <c r="K397" s="15"/>
      <c r="L397" s="11">
        <v>200079.8</v>
      </c>
    </row>
    <row r="398" spans="1:12" ht="213" customHeight="1">
      <c r="A398" s="3">
        <v>313</v>
      </c>
      <c r="B398" s="14">
        <v>11302001003</v>
      </c>
      <c r="C398" s="14"/>
      <c r="D398" s="4" t="s">
        <v>506</v>
      </c>
      <c r="E398" s="14" t="s">
        <v>512</v>
      </c>
      <c r="F398" s="14"/>
      <c r="G398" s="14"/>
      <c r="H398" s="3" t="s">
        <v>94</v>
      </c>
      <c r="I398" s="11">
        <v>1339.85</v>
      </c>
      <c r="J398" s="16">
        <v>149.33000000000001</v>
      </c>
      <c r="K398" s="15"/>
      <c r="L398" s="11">
        <v>200079.8</v>
      </c>
    </row>
    <row r="399" spans="1:12" ht="23" customHeight="1">
      <c r="A399" s="3" t="s">
        <v>53</v>
      </c>
      <c r="B399" s="14" t="s">
        <v>53</v>
      </c>
      <c r="C399" s="14"/>
      <c r="D399" s="4" t="s">
        <v>37</v>
      </c>
      <c r="E399" s="14" t="s">
        <v>53</v>
      </c>
      <c r="F399" s="14"/>
      <c r="G399" s="14"/>
      <c r="H399" s="3" t="s">
        <v>53</v>
      </c>
      <c r="I399" s="10" t="s">
        <v>53</v>
      </c>
      <c r="J399" s="15" t="s">
        <v>53</v>
      </c>
      <c r="K399" s="15"/>
      <c r="L399" s="11">
        <v>3829769.09</v>
      </c>
    </row>
    <row r="400" spans="1:12" ht="169" customHeight="1">
      <c r="A400" s="3">
        <v>314</v>
      </c>
      <c r="B400" s="14">
        <v>10802004001</v>
      </c>
      <c r="C400" s="14"/>
      <c r="D400" s="4" t="s">
        <v>513</v>
      </c>
      <c r="E400" s="14" t="s">
        <v>514</v>
      </c>
      <c r="F400" s="14"/>
      <c r="G400" s="14"/>
      <c r="H400" s="3" t="s">
        <v>94</v>
      </c>
      <c r="I400" s="11">
        <v>184.16</v>
      </c>
      <c r="J400" s="16">
        <v>342.03</v>
      </c>
      <c r="K400" s="15"/>
      <c r="L400" s="11">
        <v>62988.24</v>
      </c>
    </row>
    <row r="401" spans="1:12" ht="169" customHeight="1">
      <c r="A401" s="3">
        <v>315</v>
      </c>
      <c r="B401" s="14">
        <v>10802004002</v>
      </c>
      <c r="C401" s="14"/>
      <c r="D401" s="4" t="s">
        <v>515</v>
      </c>
      <c r="E401" s="14" t="s">
        <v>516</v>
      </c>
      <c r="F401" s="14"/>
      <c r="G401" s="14"/>
      <c r="H401" s="3" t="s">
        <v>94</v>
      </c>
      <c r="I401" s="11">
        <v>148.6</v>
      </c>
      <c r="J401" s="16">
        <v>346.44</v>
      </c>
      <c r="K401" s="15"/>
      <c r="L401" s="11">
        <v>51480.98</v>
      </c>
    </row>
    <row r="402" spans="1:12" ht="125" customHeight="1">
      <c r="A402" s="3">
        <v>316</v>
      </c>
      <c r="B402" s="14">
        <v>10802002001</v>
      </c>
      <c r="C402" s="14"/>
      <c r="D402" s="4" t="s">
        <v>517</v>
      </c>
      <c r="E402" s="14" t="s">
        <v>518</v>
      </c>
      <c r="F402" s="14"/>
      <c r="G402" s="14"/>
      <c r="H402" s="3" t="s">
        <v>94</v>
      </c>
      <c r="I402" s="11">
        <v>108</v>
      </c>
      <c r="J402" s="16">
        <v>424.23</v>
      </c>
      <c r="K402" s="15"/>
      <c r="L402" s="11">
        <v>45816.84</v>
      </c>
    </row>
    <row r="403" spans="1:12" ht="125" customHeight="1">
      <c r="A403" s="3">
        <v>317</v>
      </c>
      <c r="B403" s="14">
        <v>10802002002</v>
      </c>
      <c r="C403" s="14"/>
      <c r="D403" s="4" t="s">
        <v>519</v>
      </c>
      <c r="E403" s="14" t="s">
        <v>520</v>
      </c>
      <c r="F403" s="14"/>
      <c r="G403" s="14"/>
      <c r="H403" s="3" t="s">
        <v>94</v>
      </c>
      <c r="I403" s="11">
        <v>52.36</v>
      </c>
      <c r="J403" s="16">
        <v>507.07</v>
      </c>
      <c r="K403" s="15"/>
      <c r="L403" s="11">
        <v>26550.19</v>
      </c>
    </row>
    <row r="404" spans="1:12" ht="125" customHeight="1">
      <c r="A404" s="3">
        <v>318</v>
      </c>
      <c r="B404" s="14">
        <v>10802002003</v>
      </c>
      <c r="C404" s="14"/>
      <c r="D404" s="4" t="s">
        <v>521</v>
      </c>
      <c r="E404" s="14" t="s">
        <v>522</v>
      </c>
      <c r="F404" s="14"/>
      <c r="G404" s="14"/>
      <c r="H404" s="3" t="s">
        <v>94</v>
      </c>
      <c r="I404" s="11">
        <v>40.04</v>
      </c>
      <c r="J404" s="16">
        <v>527.44000000000005</v>
      </c>
      <c r="K404" s="15"/>
      <c r="L404" s="11">
        <v>21118.7</v>
      </c>
    </row>
    <row r="405" spans="1:12" ht="125" customHeight="1">
      <c r="A405" s="3">
        <v>319</v>
      </c>
      <c r="B405" s="14">
        <v>10802002004</v>
      </c>
      <c r="C405" s="14"/>
      <c r="D405" s="4" t="s">
        <v>523</v>
      </c>
      <c r="E405" s="14" t="s">
        <v>524</v>
      </c>
      <c r="F405" s="14"/>
      <c r="G405" s="14"/>
      <c r="H405" s="3" t="s">
        <v>94</v>
      </c>
      <c r="I405" s="11">
        <v>1846</v>
      </c>
      <c r="J405" s="16">
        <v>1057.82</v>
      </c>
      <c r="K405" s="15"/>
      <c r="L405" s="11">
        <v>1952735.72</v>
      </c>
    </row>
    <row r="406" spans="1:12" ht="183" customHeight="1">
      <c r="A406" s="3">
        <v>320</v>
      </c>
      <c r="B406" s="14">
        <v>10802002005</v>
      </c>
      <c r="C406" s="14"/>
      <c r="D406" s="4" t="s">
        <v>525</v>
      </c>
      <c r="E406" s="14" t="s">
        <v>526</v>
      </c>
      <c r="F406" s="14"/>
      <c r="G406" s="14"/>
      <c r="H406" s="3" t="s">
        <v>94</v>
      </c>
      <c r="I406" s="11">
        <v>257.77</v>
      </c>
      <c r="J406" s="16">
        <v>507.88</v>
      </c>
      <c r="K406" s="15"/>
      <c r="L406" s="11">
        <v>130916.23</v>
      </c>
    </row>
    <row r="407" spans="1:12" ht="183" customHeight="1">
      <c r="A407" s="3">
        <v>321</v>
      </c>
      <c r="B407" s="14">
        <v>10807001001</v>
      </c>
      <c r="C407" s="14"/>
      <c r="D407" s="4" t="s">
        <v>527</v>
      </c>
      <c r="E407" s="14" t="s">
        <v>528</v>
      </c>
      <c r="F407" s="14"/>
      <c r="G407" s="14"/>
      <c r="H407" s="3" t="s">
        <v>94</v>
      </c>
      <c r="I407" s="11">
        <v>327.23</v>
      </c>
      <c r="J407" s="16">
        <v>450.12</v>
      </c>
      <c r="K407" s="15"/>
      <c r="L407" s="11">
        <v>147292.76999999999</v>
      </c>
    </row>
    <row r="408" spans="1:12" ht="183" customHeight="1">
      <c r="A408" s="3">
        <v>322</v>
      </c>
      <c r="B408" s="14">
        <v>10807001002</v>
      </c>
      <c r="C408" s="14"/>
      <c r="D408" s="4" t="s">
        <v>529</v>
      </c>
      <c r="E408" s="14" t="s">
        <v>530</v>
      </c>
      <c r="F408" s="14"/>
      <c r="G408" s="14"/>
      <c r="H408" s="3" t="s">
        <v>94</v>
      </c>
      <c r="I408" s="11">
        <v>13.1</v>
      </c>
      <c r="J408" s="16">
        <v>643.02</v>
      </c>
      <c r="K408" s="15"/>
      <c r="L408" s="11">
        <v>8423.56</v>
      </c>
    </row>
    <row r="409" spans="1:12" ht="183" customHeight="1">
      <c r="A409" s="3">
        <v>323</v>
      </c>
      <c r="B409" s="14">
        <v>10807001003</v>
      </c>
      <c r="C409" s="14"/>
      <c r="D409" s="4" t="s">
        <v>531</v>
      </c>
      <c r="E409" s="14" t="s">
        <v>532</v>
      </c>
      <c r="F409" s="14"/>
      <c r="G409" s="14"/>
      <c r="H409" s="3" t="s">
        <v>94</v>
      </c>
      <c r="I409" s="11">
        <v>1274.95</v>
      </c>
      <c r="J409" s="16">
        <v>587.91999999999996</v>
      </c>
      <c r="K409" s="15"/>
      <c r="L409" s="11">
        <v>749568.6</v>
      </c>
    </row>
    <row r="410" spans="1:12" ht="154" customHeight="1">
      <c r="A410" s="3">
        <v>324</v>
      </c>
      <c r="B410" s="14">
        <v>10807002001</v>
      </c>
      <c r="C410" s="14"/>
      <c r="D410" s="4" t="s">
        <v>533</v>
      </c>
      <c r="E410" s="14" t="s">
        <v>534</v>
      </c>
      <c r="F410" s="14"/>
      <c r="G410" s="14"/>
      <c r="H410" s="3" t="s">
        <v>94</v>
      </c>
      <c r="I410" s="11">
        <v>92.57</v>
      </c>
      <c r="J410" s="16">
        <v>666.73</v>
      </c>
      <c r="K410" s="15"/>
      <c r="L410" s="11">
        <v>61719.199999999997</v>
      </c>
    </row>
    <row r="411" spans="1:12" ht="139" customHeight="1">
      <c r="A411" s="3">
        <v>325</v>
      </c>
      <c r="B411" s="14">
        <v>10807003001</v>
      </c>
      <c r="C411" s="14"/>
      <c r="D411" s="4" t="s">
        <v>535</v>
      </c>
      <c r="E411" s="14" t="s">
        <v>536</v>
      </c>
      <c r="F411" s="14"/>
      <c r="G411" s="14"/>
      <c r="H411" s="3" t="s">
        <v>94</v>
      </c>
      <c r="I411" s="11">
        <v>101.58</v>
      </c>
      <c r="J411" s="16">
        <v>355.42</v>
      </c>
      <c r="K411" s="15"/>
      <c r="L411" s="11">
        <v>36103.56</v>
      </c>
    </row>
    <row r="412" spans="1:12" ht="125" customHeight="1">
      <c r="A412" s="3">
        <v>326</v>
      </c>
      <c r="B412" s="14">
        <v>10807003002</v>
      </c>
      <c r="C412" s="14"/>
      <c r="D412" s="4" t="s">
        <v>537</v>
      </c>
      <c r="E412" s="14" t="s">
        <v>538</v>
      </c>
      <c r="F412" s="14"/>
      <c r="G412" s="14"/>
      <c r="H412" s="3" t="s">
        <v>94</v>
      </c>
      <c r="I412" s="11">
        <v>1</v>
      </c>
      <c r="J412" s="16">
        <v>226.2</v>
      </c>
      <c r="K412" s="15"/>
      <c r="L412" s="11">
        <v>226.2</v>
      </c>
    </row>
    <row r="413" spans="1:12" ht="110" customHeight="1">
      <c r="A413" s="3">
        <v>327</v>
      </c>
      <c r="B413" s="14">
        <v>10807001004</v>
      </c>
      <c r="C413" s="14"/>
      <c r="D413" s="4" t="s">
        <v>539</v>
      </c>
      <c r="E413" s="14" t="s">
        <v>540</v>
      </c>
      <c r="F413" s="14"/>
      <c r="G413" s="14"/>
      <c r="H413" s="3" t="s">
        <v>250</v>
      </c>
      <c r="I413" s="11">
        <v>28</v>
      </c>
      <c r="J413" s="16">
        <v>257.11</v>
      </c>
      <c r="K413" s="15"/>
      <c r="L413" s="11">
        <v>7199.08</v>
      </c>
    </row>
    <row r="414" spans="1:12" ht="110" customHeight="1">
      <c r="A414" s="3">
        <v>328</v>
      </c>
      <c r="B414" s="14">
        <v>10807001005</v>
      </c>
      <c r="C414" s="14"/>
      <c r="D414" s="4" t="s">
        <v>541</v>
      </c>
      <c r="E414" s="14" t="s">
        <v>542</v>
      </c>
      <c r="F414" s="14"/>
      <c r="G414" s="14"/>
      <c r="H414" s="3" t="s">
        <v>250</v>
      </c>
      <c r="I414" s="11">
        <v>26</v>
      </c>
      <c r="J414" s="16">
        <v>367.3</v>
      </c>
      <c r="K414" s="15"/>
      <c r="L414" s="11">
        <v>9549.7999999999993</v>
      </c>
    </row>
    <row r="415" spans="1:12" ht="110" customHeight="1">
      <c r="A415" s="3">
        <v>329</v>
      </c>
      <c r="B415" s="14">
        <v>10807001006</v>
      </c>
      <c r="C415" s="14"/>
      <c r="D415" s="4" t="s">
        <v>543</v>
      </c>
      <c r="E415" s="14" t="s">
        <v>544</v>
      </c>
      <c r="F415" s="14"/>
      <c r="G415" s="14"/>
      <c r="H415" s="3" t="s">
        <v>250</v>
      </c>
      <c r="I415" s="11">
        <v>14</v>
      </c>
      <c r="J415" s="16">
        <v>459.12</v>
      </c>
      <c r="K415" s="15"/>
      <c r="L415" s="11">
        <v>6427.68</v>
      </c>
    </row>
    <row r="416" spans="1:12" ht="110" customHeight="1">
      <c r="A416" s="3">
        <v>330</v>
      </c>
      <c r="B416" s="14">
        <v>10807001007</v>
      </c>
      <c r="C416" s="14"/>
      <c r="D416" s="4" t="s">
        <v>545</v>
      </c>
      <c r="E416" s="14" t="s">
        <v>546</v>
      </c>
      <c r="F416" s="14"/>
      <c r="G416" s="14"/>
      <c r="H416" s="3" t="s">
        <v>250</v>
      </c>
      <c r="I416" s="11">
        <v>30</v>
      </c>
      <c r="J416" s="16">
        <v>734.6</v>
      </c>
      <c r="K416" s="15"/>
      <c r="L416" s="11">
        <v>22038</v>
      </c>
    </row>
    <row r="417" spans="1:12" ht="110" customHeight="1">
      <c r="A417" s="3">
        <v>331</v>
      </c>
      <c r="B417" s="14">
        <v>10807001008</v>
      </c>
      <c r="C417" s="14"/>
      <c r="D417" s="4" t="s">
        <v>547</v>
      </c>
      <c r="E417" s="14" t="s">
        <v>548</v>
      </c>
      <c r="F417" s="14"/>
      <c r="G417" s="14"/>
      <c r="H417" s="3" t="s">
        <v>250</v>
      </c>
      <c r="I417" s="11">
        <v>41</v>
      </c>
      <c r="J417" s="16">
        <v>1010.07</v>
      </c>
      <c r="K417" s="15"/>
      <c r="L417" s="11">
        <v>41412.870000000003</v>
      </c>
    </row>
    <row r="418" spans="1:12" ht="198" customHeight="1">
      <c r="A418" s="3">
        <v>332</v>
      </c>
      <c r="B418" s="14">
        <v>10807001009</v>
      </c>
      <c r="C418" s="14"/>
      <c r="D418" s="4" t="s">
        <v>549</v>
      </c>
      <c r="E418" s="14" t="s">
        <v>550</v>
      </c>
      <c r="F418" s="14"/>
      <c r="G418" s="14"/>
      <c r="H418" s="3" t="s">
        <v>94</v>
      </c>
      <c r="I418" s="11">
        <v>462.22</v>
      </c>
      <c r="J418" s="16">
        <v>969.67</v>
      </c>
      <c r="K418" s="15"/>
      <c r="L418" s="11">
        <v>448200.87</v>
      </c>
    </row>
    <row r="419" spans="1:12" ht="23" customHeight="1">
      <c r="A419" s="3" t="s">
        <v>53</v>
      </c>
      <c r="B419" s="14" t="s">
        <v>53</v>
      </c>
      <c r="C419" s="14"/>
      <c r="D419" s="4" t="s">
        <v>40</v>
      </c>
      <c r="E419" s="14" t="s">
        <v>53</v>
      </c>
      <c r="F419" s="14"/>
      <c r="G419" s="14"/>
      <c r="H419" s="3" t="s">
        <v>53</v>
      </c>
      <c r="I419" s="10" t="s">
        <v>53</v>
      </c>
      <c r="J419" s="15" t="s">
        <v>53</v>
      </c>
      <c r="K419" s="15"/>
      <c r="L419" s="11">
        <v>415510.73</v>
      </c>
    </row>
    <row r="420" spans="1:12" ht="36" customHeight="1">
      <c r="A420" s="3" t="s">
        <v>53</v>
      </c>
      <c r="B420" s="14" t="s">
        <v>53</v>
      </c>
      <c r="C420" s="14"/>
      <c r="D420" s="4" t="s">
        <v>551</v>
      </c>
      <c r="E420" s="14" t="s">
        <v>53</v>
      </c>
      <c r="F420" s="14"/>
      <c r="G420" s="14"/>
      <c r="H420" s="3" t="s">
        <v>53</v>
      </c>
      <c r="I420" s="10" t="s">
        <v>53</v>
      </c>
      <c r="J420" s="15" t="s">
        <v>53</v>
      </c>
      <c r="K420" s="15"/>
      <c r="L420" s="11">
        <v>19018.75</v>
      </c>
    </row>
    <row r="421" spans="1:12" ht="51" customHeight="1">
      <c r="A421" s="3">
        <v>333</v>
      </c>
      <c r="B421" s="14">
        <v>10102007002</v>
      </c>
      <c r="C421" s="14"/>
      <c r="D421" s="4" t="s">
        <v>82</v>
      </c>
      <c r="E421" s="14" t="s">
        <v>552</v>
      </c>
      <c r="F421" s="14"/>
      <c r="G421" s="14"/>
      <c r="H421" s="3" t="s">
        <v>79</v>
      </c>
      <c r="I421" s="11">
        <v>20.602</v>
      </c>
      <c r="J421" s="16">
        <v>188.29</v>
      </c>
      <c r="K421" s="15"/>
      <c r="L421" s="11">
        <v>3879.15</v>
      </c>
    </row>
    <row r="422" spans="1:12" ht="95" customHeight="1">
      <c r="A422" s="3">
        <v>334</v>
      </c>
      <c r="B422" s="14">
        <v>10501001018</v>
      </c>
      <c r="C422" s="14"/>
      <c r="D422" s="4" t="s">
        <v>553</v>
      </c>
      <c r="E422" s="14" t="s">
        <v>554</v>
      </c>
      <c r="F422" s="14"/>
      <c r="G422" s="14"/>
      <c r="H422" s="3" t="s">
        <v>94</v>
      </c>
      <c r="I422" s="11">
        <v>343.36</v>
      </c>
      <c r="J422" s="16">
        <v>35</v>
      </c>
      <c r="K422" s="15"/>
      <c r="L422" s="11">
        <v>12017.6</v>
      </c>
    </row>
    <row r="423" spans="1:12" ht="23" customHeight="1">
      <c r="A423" s="3">
        <v>335</v>
      </c>
      <c r="B423" s="14">
        <v>10102007003</v>
      </c>
      <c r="C423" s="14"/>
      <c r="D423" s="4" t="s">
        <v>82</v>
      </c>
      <c r="E423" s="14" t="s">
        <v>555</v>
      </c>
      <c r="F423" s="14"/>
      <c r="G423" s="14"/>
      <c r="H423" s="3" t="s">
        <v>79</v>
      </c>
      <c r="I423" s="11">
        <v>85.84</v>
      </c>
      <c r="J423" s="16">
        <v>36.369999999999997</v>
      </c>
      <c r="K423" s="15"/>
      <c r="L423" s="11">
        <v>3122</v>
      </c>
    </row>
    <row r="424" spans="1:12" ht="51" customHeight="1">
      <c r="A424" s="3" t="s">
        <v>53</v>
      </c>
      <c r="B424" s="14" t="s">
        <v>53</v>
      </c>
      <c r="C424" s="14"/>
      <c r="D424" s="4" t="s">
        <v>556</v>
      </c>
      <c r="E424" s="14" t="s">
        <v>53</v>
      </c>
      <c r="F424" s="14"/>
      <c r="G424" s="14"/>
      <c r="H424" s="3" t="s">
        <v>53</v>
      </c>
      <c r="I424" s="10" t="s">
        <v>53</v>
      </c>
      <c r="J424" s="15" t="s">
        <v>53</v>
      </c>
      <c r="K424" s="15"/>
      <c r="L424" s="11">
        <v>6100.56</v>
      </c>
    </row>
    <row r="425" spans="1:12" ht="169" customHeight="1">
      <c r="A425" s="3">
        <v>336</v>
      </c>
      <c r="B425" s="14">
        <v>11102003011</v>
      </c>
      <c r="C425" s="14"/>
      <c r="D425" s="4" t="s">
        <v>351</v>
      </c>
      <c r="E425" s="14" t="s">
        <v>557</v>
      </c>
      <c r="F425" s="14"/>
      <c r="G425" s="14"/>
      <c r="H425" s="3" t="s">
        <v>94</v>
      </c>
      <c r="I425" s="11">
        <v>33.799999999999997</v>
      </c>
      <c r="J425" s="16">
        <v>180.49</v>
      </c>
      <c r="K425" s="15"/>
      <c r="L425" s="11">
        <v>6100.56</v>
      </c>
    </row>
    <row r="426" spans="1:12" ht="36" customHeight="1">
      <c r="A426" s="3" t="s">
        <v>53</v>
      </c>
      <c r="B426" s="14" t="s">
        <v>53</v>
      </c>
      <c r="C426" s="14"/>
      <c r="D426" s="4" t="s">
        <v>558</v>
      </c>
      <c r="E426" s="14" t="s">
        <v>53</v>
      </c>
      <c r="F426" s="14"/>
      <c r="G426" s="14"/>
      <c r="H426" s="3" t="s">
        <v>53</v>
      </c>
      <c r="I426" s="10" t="s">
        <v>53</v>
      </c>
      <c r="J426" s="15" t="s">
        <v>53</v>
      </c>
      <c r="K426" s="15"/>
      <c r="L426" s="11">
        <v>2291.19</v>
      </c>
    </row>
    <row r="427" spans="1:12" ht="213" customHeight="1">
      <c r="A427" s="3">
        <v>337</v>
      </c>
      <c r="B427" s="14">
        <v>10501001019</v>
      </c>
      <c r="C427" s="14"/>
      <c r="D427" s="4" t="s">
        <v>395</v>
      </c>
      <c r="E427" s="14" t="s">
        <v>559</v>
      </c>
      <c r="F427" s="14"/>
      <c r="G427" s="14"/>
      <c r="H427" s="3" t="s">
        <v>94</v>
      </c>
      <c r="I427" s="11">
        <v>24.51</v>
      </c>
      <c r="J427" s="16">
        <v>93.48</v>
      </c>
      <c r="K427" s="15"/>
      <c r="L427" s="11">
        <v>2291.19</v>
      </c>
    </row>
    <row r="428" spans="1:12" ht="125" customHeight="1">
      <c r="A428" s="3">
        <v>338</v>
      </c>
      <c r="B428" s="14">
        <v>11403001003</v>
      </c>
      <c r="C428" s="14"/>
      <c r="D428" s="4" t="s">
        <v>560</v>
      </c>
      <c r="E428" s="14" t="s">
        <v>561</v>
      </c>
      <c r="F428" s="14"/>
      <c r="G428" s="14"/>
      <c r="H428" s="3" t="s">
        <v>94</v>
      </c>
      <c r="I428" s="11">
        <v>235.9</v>
      </c>
      <c r="J428" s="16">
        <v>18</v>
      </c>
      <c r="K428" s="15"/>
      <c r="L428" s="11">
        <v>4246.2</v>
      </c>
    </row>
    <row r="429" spans="1:12" ht="258" customHeight="1">
      <c r="A429" s="3">
        <v>339</v>
      </c>
      <c r="B429" s="14">
        <v>11101001016</v>
      </c>
      <c r="C429" s="14"/>
      <c r="D429" s="4" t="s">
        <v>562</v>
      </c>
      <c r="E429" s="14" t="s">
        <v>563</v>
      </c>
      <c r="F429" s="14"/>
      <c r="G429" s="14"/>
      <c r="H429" s="3" t="s">
        <v>94</v>
      </c>
      <c r="I429" s="11">
        <v>18</v>
      </c>
      <c r="J429" s="16">
        <v>101.3</v>
      </c>
      <c r="K429" s="15"/>
      <c r="L429" s="11">
        <v>1823.4</v>
      </c>
    </row>
    <row r="430" spans="1:12" ht="183" customHeight="1">
      <c r="A430" s="3">
        <v>340</v>
      </c>
      <c r="B430" s="14">
        <v>11205001005</v>
      </c>
      <c r="C430" s="14"/>
      <c r="D430" s="4" t="s">
        <v>564</v>
      </c>
      <c r="E430" s="14" t="s">
        <v>565</v>
      </c>
      <c r="F430" s="14"/>
      <c r="G430" s="14"/>
      <c r="H430" s="3" t="s">
        <v>94</v>
      </c>
      <c r="I430" s="11">
        <v>42</v>
      </c>
      <c r="J430" s="16">
        <v>143.9</v>
      </c>
      <c r="K430" s="15"/>
      <c r="L430" s="11">
        <v>6043.8</v>
      </c>
    </row>
    <row r="431" spans="1:12" ht="139" customHeight="1">
      <c r="A431" s="3">
        <v>341</v>
      </c>
      <c r="B431" s="14">
        <v>10904004001</v>
      </c>
      <c r="C431" s="14"/>
      <c r="D431" s="4" t="s">
        <v>566</v>
      </c>
      <c r="E431" s="14" t="s">
        <v>567</v>
      </c>
      <c r="F431" s="14"/>
      <c r="G431" s="14"/>
      <c r="H431" s="3" t="s">
        <v>273</v>
      </c>
      <c r="I431" s="11">
        <v>161.19999999999999</v>
      </c>
      <c r="J431" s="16">
        <v>101.44</v>
      </c>
      <c r="K431" s="15"/>
      <c r="L431" s="11">
        <v>16352.13</v>
      </c>
    </row>
    <row r="432" spans="1:12" ht="139" customHeight="1">
      <c r="A432" s="3">
        <v>342</v>
      </c>
      <c r="B432" s="14">
        <v>10904004002</v>
      </c>
      <c r="C432" s="14"/>
      <c r="D432" s="4" t="s">
        <v>568</v>
      </c>
      <c r="E432" s="14" t="s">
        <v>569</v>
      </c>
      <c r="F432" s="14"/>
      <c r="G432" s="14"/>
      <c r="H432" s="3" t="s">
        <v>273</v>
      </c>
      <c r="I432" s="11">
        <v>91.2</v>
      </c>
      <c r="J432" s="16">
        <v>85.95</v>
      </c>
      <c r="K432" s="15"/>
      <c r="L432" s="11">
        <v>7838.64</v>
      </c>
    </row>
    <row r="433" spans="1:12" ht="139" customHeight="1">
      <c r="A433" s="3">
        <v>343</v>
      </c>
      <c r="B433" s="14">
        <v>10904004003</v>
      </c>
      <c r="C433" s="14"/>
      <c r="D433" s="4" t="s">
        <v>570</v>
      </c>
      <c r="E433" s="14" t="s">
        <v>571</v>
      </c>
      <c r="F433" s="14"/>
      <c r="G433" s="14"/>
      <c r="H433" s="3" t="s">
        <v>273</v>
      </c>
      <c r="I433" s="11">
        <v>161.19999999999999</v>
      </c>
      <c r="J433" s="16">
        <v>81.650000000000006</v>
      </c>
      <c r="K433" s="15"/>
      <c r="L433" s="11">
        <v>13161.98</v>
      </c>
    </row>
    <row r="434" spans="1:12" ht="154" customHeight="1">
      <c r="A434" s="3">
        <v>344</v>
      </c>
      <c r="B434" s="14">
        <v>10903004002</v>
      </c>
      <c r="C434" s="14"/>
      <c r="D434" s="4" t="s">
        <v>572</v>
      </c>
      <c r="E434" s="14" t="s">
        <v>573</v>
      </c>
      <c r="F434" s="14"/>
      <c r="G434" s="14"/>
      <c r="H434" s="3" t="s">
        <v>273</v>
      </c>
      <c r="I434" s="11">
        <v>91.2</v>
      </c>
      <c r="J434" s="16">
        <v>48.73</v>
      </c>
      <c r="K434" s="15"/>
      <c r="L434" s="11">
        <v>4444.18</v>
      </c>
    </row>
    <row r="435" spans="1:12" ht="139" customHeight="1">
      <c r="A435" s="3">
        <v>345</v>
      </c>
      <c r="B435" s="14">
        <v>10904004004</v>
      </c>
      <c r="C435" s="14"/>
      <c r="D435" s="4" t="s">
        <v>574</v>
      </c>
      <c r="E435" s="14" t="s">
        <v>575</v>
      </c>
      <c r="F435" s="14"/>
      <c r="G435" s="14"/>
      <c r="H435" s="3" t="s">
        <v>273</v>
      </c>
      <c r="I435" s="11">
        <v>30.4</v>
      </c>
      <c r="J435" s="16">
        <v>151.32</v>
      </c>
      <c r="K435" s="15"/>
      <c r="L435" s="11">
        <v>4600.13</v>
      </c>
    </row>
    <row r="436" spans="1:12" ht="183" customHeight="1">
      <c r="A436" s="3">
        <v>346</v>
      </c>
      <c r="B436" s="14">
        <v>10903004003</v>
      </c>
      <c r="C436" s="14"/>
      <c r="D436" s="4" t="s">
        <v>576</v>
      </c>
      <c r="E436" s="14" t="s">
        <v>577</v>
      </c>
      <c r="F436" s="14"/>
      <c r="G436" s="14"/>
      <c r="H436" s="3" t="s">
        <v>273</v>
      </c>
      <c r="I436" s="11">
        <v>35.69</v>
      </c>
      <c r="J436" s="16">
        <v>79.569999999999993</v>
      </c>
      <c r="K436" s="15"/>
      <c r="L436" s="11">
        <v>2839.85</v>
      </c>
    </row>
    <row r="437" spans="1:12" ht="213" customHeight="1">
      <c r="A437" s="3">
        <v>347</v>
      </c>
      <c r="B437" s="14">
        <v>11503001001</v>
      </c>
      <c r="C437" s="14"/>
      <c r="D437" s="4" t="s">
        <v>578</v>
      </c>
      <c r="E437" s="14" t="s">
        <v>579</v>
      </c>
      <c r="F437" s="14"/>
      <c r="G437" s="14"/>
      <c r="H437" s="3" t="s">
        <v>273</v>
      </c>
      <c r="I437" s="11">
        <v>327.35000000000002</v>
      </c>
      <c r="J437" s="16">
        <v>296.95999999999998</v>
      </c>
      <c r="K437" s="15"/>
      <c r="L437" s="11">
        <v>97209.86</v>
      </c>
    </row>
    <row r="438" spans="1:12" ht="228" customHeight="1">
      <c r="A438" s="3">
        <v>348</v>
      </c>
      <c r="B438" s="14">
        <v>11503001002</v>
      </c>
      <c r="C438" s="14"/>
      <c r="D438" s="4" t="s">
        <v>580</v>
      </c>
      <c r="E438" s="14" t="s">
        <v>581</v>
      </c>
      <c r="F438" s="14"/>
      <c r="G438" s="14"/>
      <c r="H438" s="3" t="s">
        <v>273</v>
      </c>
      <c r="I438" s="11">
        <v>134</v>
      </c>
      <c r="J438" s="16">
        <v>197.18</v>
      </c>
      <c r="K438" s="15"/>
      <c r="L438" s="11">
        <v>26422.12</v>
      </c>
    </row>
    <row r="439" spans="1:12" ht="213" customHeight="1">
      <c r="A439" s="3">
        <v>349</v>
      </c>
      <c r="B439" s="14">
        <v>11503001003</v>
      </c>
      <c r="C439" s="14"/>
      <c r="D439" s="4" t="s">
        <v>582</v>
      </c>
      <c r="E439" s="14" t="s">
        <v>583</v>
      </c>
      <c r="F439" s="14"/>
      <c r="G439" s="14"/>
      <c r="H439" s="3" t="s">
        <v>273</v>
      </c>
      <c r="I439" s="11">
        <v>51</v>
      </c>
      <c r="J439" s="16">
        <v>260.45999999999998</v>
      </c>
      <c r="K439" s="15"/>
      <c r="L439" s="11">
        <v>13283.46</v>
      </c>
    </row>
    <row r="440" spans="1:12" ht="169" customHeight="1">
      <c r="A440" s="3">
        <v>350</v>
      </c>
      <c r="B440" s="14">
        <v>11503001004</v>
      </c>
      <c r="C440" s="14"/>
      <c r="D440" s="4" t="s">
        <v>584</v>
      </c>
      <c r="E440" s="14" t="s">
        <v>585</v>
      </c>
      <c r="F440" s="14"/>
      <c r="G440" s="14"/>
      <c r="H440" s="3" t="s">
        <v>273</v>
      </c>
      <c r="I440" s="11">
        <v>23</v>
      </c>
      <c r="J440" s="16">
        <v>308.64999999999998</v>
      </c>
      <c r="K440" s="15"/>
      <c r="L440" s="11">
        <v>7098.95</v>
      </c>
    </row>
    <row r="441" spans="1:12" ht="213" customHeight="1">
      <c r="A441" s="3">
        <v>351</v>
      </c>
      <c r="B441" s="14">
        <v>11503001005</v>
      </c>
      <c r="C441" s="14"/>
      <c r="D441" s="4" t="s">
        <v>586</v>
      </c>
      <c r="E441" s="14" t="s">
        <v>587</v>
      </c>
      <c r="F441" s="14"/>
      <c r="G441" s="14"/>
      <c r="H441" s="3" t="s">
        <v>273</v>
      </c>
      <c r="I441" s="11">
        <v>32</v>
      </c>
      <c r="J441" s="16">
        <v>318.08</v>
      </c>
      <c r="K441" s="15"/>
      <c r="L441" s="11">
        <v>10178.56</v>
      </c>
    </row>
    <row r="442" spans="1:12" ht="139" customHeight="1">
      <c r="A442" s="3">
        <v>352</v>
      </c>
      <c r="B442" s="14">
        <v>11503001006</v>
      </c>
      <c r="C442" s="14"/>
      <c r="D442" s="4" t="s">
        <v>588</v>
      </c>
      <c r="E442" s="14" t="s">
        <v>589</v>
      </c>
      <c r="F442" s="14"/>
      <c r="G442" s="14"/>
      <c r="H442" s="3" t="s">
        <v>273</v>
      </c>
      <c r="I442" s="11">
        <v>24</v>
      </c>
      <c r="J442" s="16">
        <v>229.49</v>
      </c>
      <c r="K442" s="15"/>
      <c r="L442" s="11">
        <v>5507.76</v>
      </c>
    </row>
    <row r="443" spans="1:12" ht="139" customHeight="1">
      <c r="A443" s="3">
        <v>353</v>
      </c>
      <c r="B443" s="14">
        <v>10607004001</v>
      </c>
      <c r="C443" s="14"/>
      <c r="D443" s="4" t="s">
        <v>590</v>
      </c>
      <c r="E443" s="14" t="s">
        <v>591</v>
      </c>
      <c r="F443" s="14"/>
      <c r="G443" s="14"/>
      <c r="H443" s="3" t="s">
        <v>192</v>
      </c>
      <c r="I443" s="11">
        <v>1.1000000000000001</v>
      </c>
      <c r="J443" s="16">
        <v>6367.42</v>
      </c>
      <c r="K443" s="15"/>
      <c r="L443" s="11">
        <v>7004.16</v>
      </c>
    </row>
    <row r="444" spans="1:12" ht="139" customHeight="1">
      <c r="A444" s="3">
        <v>354</v>
      </c>
      <c r="B444" s="14">
        <v>11503001007</v>
      </c>
      <c r="C444" s="14"/>
      <c r="D444" s="4" t="s">
        <v>592</v>
      </c>
      <c r="E444" s="14" t="s">
        <v>593</v>
      </c>
      <c r="F444" s="14"/>
      <c r="G444" s="14"/>
      <c r="H444" s="3" t="s">
        <v>192</v>
      </c>
      <c r="I444" s="11">
        <v>0.89</v>
      </c>
      <c r="J444" s="16">
        <v>6217.69</v>
      </c>
      <c r="K444" s="15"/>
      <c r="L444" s="11">
        <v>5533.74</v>
      </c>
    </row>
    <row r="445" spans="1:12" ht="139" customHeight="1">
      <c r="A445" s="3">
        <v>355</v>
      </c>
      <c r="B445" s="14">
        <v>11503001008</v>
      </c>
      <c r="C445" s="14"/>
      <c r="D445" s="4" t="s">
        <v>594</v>
      </c>
      <c r="E445" s="14" t="s">
        <v>595</v>
      </c>
      <c r="F445" s="14"/>
      <c r="G445" s="14"/>
      <c r="H445" s="3" t="s">
        <v>192</v>
      </c>
      <c r="I445" s="11">
        <v>0.9</v>
      </c>
      <c r="J445" s="16">
        <v>6217.67</v>
      </c>
      <c r="K445" s="15"/>
      <c r="L445" s="11">
        <v>5595.9</v>
      </c>
    </row>
    <row r="446" spans="1:12" ht="139" customHeight="1">
      <c r="A446" s="3">
        <v>356</v>
      </c>
      <c r="B446" s="14">
        <v>10607006001</v>
      </c>
      <c r="C446" s="14"/>
      <c r="D446" s="4" t="s">
        <v>596</v>
      </c>
      <c r="E446" s="14" t="s">
        <v>597</v>
      </c>
      <c r="F446" s="14"/>
      <c r="G446" s="14"/>
      <c r="H446" s="3" t="s">
        <v>192</v>
      </c>
      <c r="I446" s="11">
        <v>0.86</v>
      </c>
      <c r="J446" s="16">
        <v>6481.78</v>
      </c>
      <c r="K446" s="15"/>
      <c r="L446" s="11">
        <v>5574.33</v>
      </c>
    </row>
    <row r="447" spans="1:12" ht="228" customHeight="1">
      <c r="A447" s="3">
        <v>357</v>
      </c>
      <c r="B447" s="14">
        <v>11506003002</v>
      </c>
      <c r="C447" s="14"/>
      <c r="D447" s="4" t="s">
        <v>598</v>
      </c>
      <c r="E447" s="14" t="s">
        <v>599</v>
      </c>
      <c r="F447" s="14"/>
      <c r="G447" s="14"/>
      <c r="H447" s="3" t="s">
        <v>468</v>
      </c>
      <c r="I447" s="11">
        <v>45</v>
      </c>
      <c r="J447" s="16">
        <v>230.91</v>
      </c>
      <c r="K447" s="15"/>
      <c r="L447" s="11">
        <v>10390.950000000001</v>
      </c>
    </row>
    <row r="448" spans="1:12" ht="228" customHeight="1">
      <c r="A448" s="3">
        <v>358</v>
      </c>
      <c r="B448" s="14">
        <v>11506003003</v>
      </c>
      <c r="C448" s="14"/>
      <c r="D448" s="4" t="s">
        <v>598</v>
      </c>
      <c r="E448" s="14" t="s">
        <v>600</v>
      </c>
      <c r="F448" s="14"/>
      <c r="G448" s="14"/>
      <c r="H448" s="3" t="s">
        <v>468</v>
      </c>
      <c r="I448" s="11">
        <v>65</v>
      </c>
      <c r="J448" s="16">
        <v>184.99</v>
      </c>
      <c r="K448" s="15"/>
      <c r="L448" s="11">
        <v>12024.35</v>
      </c>
    </row>
    <row r="449" spans="1:12" ht="154" customHeight="1">
      <c r="A449" s="3">
        <v>359</v>
      </c>
      <c r="B449" s="14">
        <v>11503001009</v>
      </c>
      <c r="C449" s="14"/>
      <c r="D449" s="4" t="s">
        <v>601</v>
      </c>
      <c r="E449" s="14" t="s">
        <v>602</v>
      </c>
      <c r="F449" s="14"/>
      <c r="G449" s="14"/>
      <c r="H449" s="3" t="s">
        <v>94</v>
      </c>
      <c r="I449" s="11">
        <v>141.94999999999999</v>
      </c>
      <c r="J449" s="16">
        <v>505.04</v>
      </c>
      <c r="K449" s="15"/>
      <c r="L449" s="11">
        <v>71690.429999999993</v>
      </c>
    </row>
    <row r="450" spans="1:12" ht="346" customHeight="1">
      <c r="A450" s="3">
        <v>360</v>
      </c>
      <c r="B450" s="14">
        <v>11101001017</v>
      </c>
      <c r="C450" s="14"/>
      <c r="D450" s="4" t="s">
        <v>603</v>
      </c>
      <c r="E450" s="14" t="s">
        <v>604</v>
      </c>
      <c r="F450" s="14"/>
      <c r="G450" s="14"/>
      <c r="H450" s="3" t="s">
        <v>94</v>
      </c>
      <c r="I450" s="11">
        <v>141.94999999999999</v>
      </c>
      <c r="J450" s="16">
        <v>99.09</v>
      </c>
      <c r="K450" s="15"/>
      <c r="L450" s="11">
        <v>14065.83</v>
      </c>
    </row>
    <row r="451" spans="1:12" ht="125" customHeight="1">
      <c r="A451" s="3">
        <v>361</v>
      </c>
      <c r="B451" s="14">
        <v>10809001001</v>
      </c>
      <c r="C451" s="14"/>
      <c r="D451" s="4" t="s">
        <v>605</v>
      </c>
      <c r="E451" s="14" t="s">
        <v>606</v>
      </c>
      <c r="F451" s="14"/>
      <c r="G451" s="14"/>
      <c r="H451" s="3" t="s">
        <v>94</v>
      </c>
      <c r="I451" s="11">
        <v>12</v>
      </c>
      <c r="J451" s="16">
        <v>405.77</v>
      </c>
      <c r="K451" s="15"/>
      <c r="L451" s="11">
        <v>4869.24</v>
      </c>
    </row>
    <row r="452" spans="1:12" ht="139" customHeight="1">
      <c r="A452" s="3">
        <v>362</v>
      </c>
      <c r="B452" s="14">
        <v>11505001001</v>
      </c>
      <c r="C452" s="14"/>
      <c r="D452" s="4" t="s">
        <v>607</v>
      </c>
      <c r="E452" s="14" t="s">
        <v>608</v>
      </c>
      <c r="F452" s="14"/>
      <c r="G452" s="14"/>
      <c r="H452" s="3" t="s">
        <v>94</v>
      </c>
      <c r="I452" s="11">
        <v>6</v>
      </c>
      <c r="J452" s="16">
        <v>629.15</v>
      </c>
      <c r="K452" s="15"/>
      <c r="L452" s="11">
        <v>3774.9</v>
      </c>
    </row>
    <row r="453" spans="1:12" ht="110" customHeight="1">
      <c r="A453" s="3">
        <v>363</v>
      </c>
      <c r="B453" s="14">
        <v>11505003001</v>
      </c>
      <c r="C453" s="14"/>
      <c r="D453" s="4" t="s">
        <v>609</v>
      </c>
      <c r="E453" s="14" t="s">
        <v>610</v>
      </c>
      <c r="F453" s="14"/>
      <c r="G453" s="14"/>
      <c r="H453" s="3" t="s">
        <v>94</v>
      </c>
      <c r="I453" s="11">
        <v>8.36</v>
      </c>
      <c r="J453" s="16">
        <v>270.58999999999997</v>
      </c>
      <c r="K453" s="15"/>
      <c r="L453" s="11">
        <v>2262.13</v>
      </c>
    </row>
    <row r="454" spans="1:12" ht="125" customHeight="1">
      <c r="A454" s="3">
        <v>364</v>
      </c>
      <c r="B454" s="14">
        <v>11207003001</v>
      </c>
      <c r="C454" s="14"/>
      <c r="D454" s="4" t="s">
        <v>611</v>
      </c>
      <c r="E454" s="14" t="s">
        <v>612</v>
      </c>
      <c r="F454" s="14"/>
      <c r="G454" s="14"/>
      <c r="H454" s="3" t="s">
        <v>94</v>
      </c>
      <c r="I454" s="11">
        <v>85</v>
      </c>
      <c r="J454" s="16">
        <v>285.45</v>
      </c>
      <c r="K454" s="15"/>
      <c r="L454" s="11">
        <v>24263.25</v>
      </c>
    </row>
    <row r="455" spans="1:12" ht="23" customHeight="1">
      <c r="A455" s="17" t="s">
        <v>613</v>
      </c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1">
        <v>93542353.040000007</v>
      </c>
    </row>
  </sheetData>
  <mergeCells count="1380">
    <mergeCell ref="J106:K107"/>
    <mergeCell ref="E106:G107"/>
    <mergeCell ref="B108:C109"/>
    <mergeCell ref="J108:K109"/>
    <mergeCell ref="E108:G109"/>
    <mergeCell ref="B110:C111"/>
    <mergeCell ref="J110:K111"/>
    <mergeCell ref="E110:G111"/>
    <mergeCell ref="B112:C113"/>
    <mergeCell ref="J112:K113"/>
    <mergeCell ref="E112:G113"/>
    <mergeCell ref="B119:C120"/>
    <mergeCell ref="J119:K120"/>
    <mergeCell ref="E119:G120"/>
    <mergeCell ref="B121:C122"/>
    <mergeCell ref="J121:K122"/>
    <mergeCell ref="E121:G122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9:L120"/>
    <mergeCell ref="L121:L122"/>
    <mergeCell ref="L123:L124"/>
    <mergeCell ref="L125:L126"/>
    <mergeCell ref="B96:C97"/>
    <mergeCell ref="J96:K97"/>
    <mergeCell ref="E96:G97"/>
    <mergeCell ref="B98:C99"/>
    <mergeCell ref="J98:K99"/>
    <mergeCell ref="E98:G99"/>
    <mergeCell ref="B100:C101"/>
    <mergeCell ref="J100:K101"/>
    <mergeCell ref="E100:G101"/>
    <mergeCell ref="B102:C103"/>
    <mergeCell ref="J102:K103"/>
    <mergeCell ref="E102:G103"/>
    <mergeCell ref="B104:C105"/>
    <mergeCell ref="J104:K105"/>
    <mergeCell ref="E104:G105"/>
    <mergeCell ref="B106:C107"/>
    <mergeCell ref="H108:H109"/>
    <mergeCell ref="H110:H111"/>
    <mergeCell ref="H112:H113"/>
    <mergeCell ref="H119:H120"/>
    <mergeCell ref="H121:H122"/>
    <mergeCell ref="H123:H124"/>
    <mergeCell ref="H125:H126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9:I120"/>
    <mergeCell ref="I121:I122"/>
    <mergeCell ref="I123:I124"/>
    <mergeCell ref="I125:I126"/>
    <mergeCell ref="B450:C450"/>
    <mergeCell ref="E450:G450"/>
    <mergeCell ref="J450:K450"/>
    <mergeCell ref="B451:C451"/>
    <mergeCell ref="E451:G451"/>
    <mergeCell ref="J451:K451"/>
    <mergeCell ref="B452:C452"/>
    <mergeCell ref="E452:G452"/>
    <mergeCell ref="J452:K452"/>
    <mergeCell ref="B453:C453"/>
    <mergeCell ref="E453:G453"/>
    <mergeCell ref="J453:K453"/>
    <mergeCell ref="B454:C454"/>
    <mergeCell ref="E454:G454"/>
    <mergeCell ref="J454:K454"/>
    <mergeCell ref="A455:K45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9:A120"/>
    <mergeCell ref="A121:A122"/>
    <mergeCell ref="A123:A124"/>
    <mergeCell ref="A125:A126"/>
    <mergeCell ref="D96:D97"/>
    <mergeCell ref="B444:C444"/>
    <mergeCell ref="E444:G444"/>
    <mergeCell ref="J444:K444"/>
    <mergeCell ref="B445:C445"/>
    <mergeCell ref="E445:G445"/>
    <mergeCell ref="J445:K445"/>
    <mergeCell ref="B446:C446"/>
    <mergeCell ref="E446:G446"/>
    <mergeCell ref="J446:K446"/>
    <mergeCell ref="B447:C447"/>
    <mergeCell ref="E447:G447"/>
    <mergeCell ref="J447:K447"/>
    <mergeCell ref="B448:C448"/>
    <mergeCell ref="E448:G448"/>
    <mergeCell ref="J448:K448"/>
    <mergeCell ref="B449:C449"/>
    <mergeCell ref="E449:G449"/>
    <mergeCell ref="J449:K449"/>
    <mergeCell ref="B438:C438"/>
    <mergeCell ref="E438:G438"/>
    <mergeCell ref="J438:K438"/>
    <mergeCell ref="B439:C439"/>
    <mergeCell ref="E439:G439"/>
    <mergeCell ref="J439:K439"/>
    <mergeCell ref="B440:C440"/>
    <mergeCell ref="E440:G440"/>
    <mergeCell ref="J440:K440"/>
    <mergeCell ref="B441:C441"/>
    <mergeCell ref="E441:G441"/>
    <mergeCell ref="J441:K441"/>
    <mergeCell ref="B442:C442"/>
    <mergeCell ref="E442:G442"/>
    <mergeCell ref="J442:K442"/>
    <mergeCell ref="B443:C443"/>
    <mergeCell ref="E443:G443"/>
    <mergeCell ref="J443:K443"/>
    <mergeCell ref="B432:C432"/>
    <mergeCell ref="E432:G432"/>
    <mergeCell ref="J432:K432"/>
    <mergeCell ref="B433:C433"/>
    <mergeCell ref="E433:G433"/>
    <mergeCell ref="J433:K433"/>
    <mergeCell ref="B434:C434"/>
    <mergeCell ref="E434:G434"/>
    <mergeCell ref="J434:K434"/>
    <mergeCell ref="B435:C435"/>
    <mergeCell ref="E435:G435"/>
    <mergeCell ref="J435:K435"/>
    <mergeCell ref="B436:C436"/>
    <mergeCell ref="E436:G436"/>
    <mergeCell ref="J436:K436"/>
    <mergeCell ref="B437:C437"/>
    <mergeCell ref="E437:G437"/>
    <mergeCell ref="J437:K437"/>
    <mergeCell ref="B426:C426"/>
    <mergeCell ref="E426:G426"/>
    <mergeCell ref="J426:K426"/>
    <mergeCell ref="B427:C427"/>
    <mergeCell ref="E427:G427"/>
    <mergeCell ref="J427:K427"/>
    <mergeCell ref="B428:C428"/>
    <mergeCell ref="E428:G428"/>
    <mergeCell ref="J428:K428"/>
    <mergeCell ref="B429:C429"/>
    <mergeCell ref="E429:G429"/>
    <mergeCell ref="J429:K429"/>
    <mergeCell ref="B430:C430"/>
    <mergeCell ref="E430:G430"/>
    <mergeCell ref="J430:K430"/>
    <mergeCell ref="B431:C431"/>
    <mergeCell ref="E431:G431"/>
    <mergeCell ref="J431:K431"/>
    <mergeCell ref="B420:C420"/>
    <mergeCell ref="E420:G420"/>
    <mergeCell ref="J420:K420"/>
    <mergeCell ref="B421:C421"/>
    <mergeCell ref="E421:G421"/>
    <mergeCell ref="J421:K421"/>
    <mergeCell ref="B422:C422"/>
    <mergeCell ref="E422:G422"/>
    <mergeCell ref="J422:K422"/>
    <mergeCell ref="B423:C423"/>
    <mergeCell ref="E423:G423"/>
    <mergeCell ref="J423:K423"/>
    <mergeCell ref="B424:C424"/>
    <mergeCell ref="E424:G424"/>
    <mergeCell ref="J424:K424"/>
    <mergeCell ref="B425:C425"/>
    <mergeCell ref="E425:G425"/>
    <mergeCell ref="J425:K425"/>
    <mergeCell ref="B414:C414"/>
    <mergeCell ref="E414:G414"/>
    <mergeCell ref="J414:K414"/>
    <mergeCell ref="B415:C415"/>
    <mergeCell ref="E415:G415"/>
    <mergeCell ref="J415:K415"/>
    <mergeCell ref="B416:C416"/>
    <mergeCell ref="E416:G416"/>
    <mergeCell ref="J416:K416"/>
    <mergeCell ref="B417:C417"/>
    <mergeCell ref="E417:G417"/>
    <mergeCell ref="J417:K417"/>
    <mergeCell ref="B418:C418"/>
    <mergeCell ref="E418:G418"/>
    <mergeCell ref="J418:K418"/>
    <mergeCell ref="B419:C419"/>
    <mergeCell ref="E419:G419"/>
    <mergeCell ref="J419:K419"/>
    <mergeCell ref="B408:C408"/>
    <mergeCell ref="E408:G408"/>
    <mergeCell ref="J408:K408"/>
    <mergeCell ref="B409:C409"/>
    <mergeCell ref="E409:G409"/>
    <mergeCell ref="J409:K409"/>
    <mergeCell ref="B410:C410"/>
    <mergeCell ref="E410:G410"/>
    <mergeCell ref="J410:K410"/>
    <mergeCell ref="B411:C411"/>
    <mergeCell ref="E411:G411"/>
    <mergeCell ref="J411:K411"/>
    <mergeCell ref="B412:C412"/>
    <mergeCell ref="E412:G412"/>
    <mergeCell ref="J412:K412"/>
    <mergeCell ref="B413:C413"/>
    <mergeCell ref="E413:G413"/>
    <mergeCell ref="J413:K413"/>
    <mergeCell ref="B402:C402"/>
    <mergeCell ref="E402:G402"/>
    <mergeCell ref="J402:K402"/>
    <mergeCell ref="B403:C403"/>
    <mergeCell ref="E403:G403"/>
    <mergeCell ref="J403:K403"/>
    <mergeCell ref="B404:C404"/>
    <mergeCell ref="E404:G404"/>
    <mergeCell ref="J404:K404"/>
    <mergeCell ref="B405:C405"/>
    <mergeCell ref="E405:G405"/>
    <mergeCell ref="J405:K405"/>
    <mergeCell ref="B406:C406"/>
    <mergeCell ref="E406:G406"/>
    <mergeCell ref="J406:K406"/>
    <mergeCell ref="B407:C407"/>
    <mergeCell ref="E407:G407"/>
    <mergeCell ref="J407:K407"/>
    <mergeCell ref="B396:C396"/>
    <mergeCell ref="E396:G396"/>
    <mergeCell ref="J396:K396"/>
    <mergeCell ref="B397:C397"/>
    <mergeCell ref="E397:G397"/>
    <mergeCell ref="J397:K397"/>
    <mergeCell ref="B398:C398"/>
    <mergeCell ref="E398:G398"/>
    <mergeCell ref="J398:K398"/>
    <mergeCell ref="B399:C399"/>
    <mergeCell ref="E399:G399"/>
    <mergeCell ref="J399:K399"/>
    <mergeCell ref="B400:C400"/>
    <mergeCell ref="E400:G400"/>
    <mergeCell ref="J400:K400"/>
    <mergeCell ref="B401:C401"/>
    <mergeCell ref="E401:G401"/>
    <mergeCell ref="J401:K401"/>
    <mergeCell ref="B390:C390"/>
    <mergeCell ref="E390:G390"/>
    <mergeCell ref="J390:K390"/>
    <mergeCell ref="B391:C391"/>
    <mergeCell ref="E391:G391"/>
    <mergeCell ref="J391:K391"/>
    <mergeCell ref="B392:C392"/>
    <mergeCell ref="E392:G392"/>
    <mergeCell ref="J392:K392"/>
    <mergeCell ref="B393:C393"/>
    <mergeCell ref="E393:G393"/>
    <mergeCell ref="J393:K393"/>
    <mergeCell ref="B394:C394"/>
    <mergeCell ref="E394:G394"/>
    <mergeCell ref="J394:K394"/>
    <mergeCell ref="B395:C395"/>
    <mergeCell ref="E395:G395"/>
    <mergeCell ref="J395:K395"/>
    <mergeCell ref="B384:C384"/>
    <mergeCell ref="E384:G384"/>
    <mergeCell ref="J384:K384"/>
    <mergeCell ref="B385:C385"/>
    <mergeCell ref="E385:G385"/>
    <mergeCell ref="J385:K385"/>
    <mergeCell ref="B386:C386"/>
    <mergeCell ref="E386:G386"/>
    <mergeCell ref="J386:K386"/>
    <mergeCell ref="B387:C387"/>
    <mergeCell ref="E387:G387"/>
    <mergeCell ref="J387:K387"/>
    <mergeCell ref="B388:C388"/>
    <mergeCell ref="E388:G388"/>
    <mergeCell ref="J388:K388"/>
    <mergeCell ref="B389:C389"/>
    <mergeCell ref="E389:G389"/>
    <mergeCell ref="J389:K389"/>
    <mergeCell ref="B378:C378"/>
    <mergeCell ref="E378:G378"/>
    <mergeCell ref="J378:K378"/>
    <mergeCell ref="B379:C379"/>
    <mergeCell ref="E379:G379"/>
    <mergeCell ref="J379:K379"/>
    <mergeCell ref="B380:C380"/>
    <mergeCell ref="E380:G380"/>
    <mergeCell ref="J380:K380"/>
    <mergeCell ref="B381:C381"/>
    <mergeCell ref="E381:G381"/>
    <mergeCell ref="J381:K381"/>
    <mergeCell ref="B382:C382"/>
    <mergeCell ref="E382:G382"/>
    <mergeCell ref="J382:K382"/>
    <mergeCell ref="B383:C383"/>
    <mergeCell ref="E383:G383"/>
    <mergeCell ref="J383:K383"/>
    <mergeCell ref="B372:C372"/>
    <mergeCell ref="E372:G372"/>
    <mergeCell ref="J372:K372"/>
    <mergeCell ref="B373:C373"/>
    <mergeCell ref="E373:G373"/>
    <mergeCell ref="J373:K373"/>
    <mergeCell ref="B374:C374"/>
    <mergeCell ref="E374:G374"/>
    <mergeCell ref="J374:K374"/>
    <mergeCell ref="B375:C375"/>
    <mergeCell ref="E375:G375"/>
    <mergeCell ref="J375:K375"/>
    <mergeCell ref="B376:C376"/>
    <mergeCell ref="E376:G376"/>
    <mergeCell ref="J376:K376"/>
    <mergeCell ref="B377:C377"/>
    <mergeCell ref="E377:G377"/>
    <mergeCell ref="J377:K377"/>
    <mergeCell ref="B366:C366"/>
    <mergeCell ref="E366:G366"/>
    <mergeCell ref="J366:K366"/>
    <mergeCell ref="B367:C367"/>
    <mergeCell ref="E367:G367"/>
    <mergeCell ref="J367:K367"/>
    <mergeCell ref="B368:C368"/>
    <mergeCell ref="E368:G368"/>
    <mergeCell ref="J368:K368"/>
    <mergeCell ref="B369:C369"/>
    <mergeCell ref="E369:G369"/>
    <mergeCell ref="J369:K369"/>
    <mergeCell ref="B370:C370"/>
    <mergeCell ref="E370:G370"/>
    <mergeCell ref="J370:K370"/>
    <mergeCell ref="B371:C371"/>
    <mergeCell ref="E371:G371"/>
    <mergeCell ref="J371:K371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B363:C363"/>
    <mergeCell ref="E363:G363"/>
    <mergeCell ref="J363:K363"/>
    <mergeCell ref="B364:C364"/>
    <mergeCell ref="E364:G364"/>
    <mergeCell ref="J364:K364"/>
    <mergeCell ref="B365:C365"/>
    <mergeCell ref="E365:G365"/>
    <mergeCell ref="J365:K365"/>
    <mergeCell ref="B354:C354"/>
    <mergeCell ref="E354:G354"/>
    <mergeCell ref="J354:K354"/>
    <mergeCell ref="B355:C355"/>
    <mergeCell ref="E355:G355"/>
    <mergeCell ref="J355:K355"/>
    <mergeCell ref="B356:C356"/>
    <mergeCell ref="E356:G356"/>
    <mergeCell ref="J356:K356"/>
    <mergeCell ref="B357:C357"/>
    <mergeCell ref="E357:G357"/>
    <mergeCell ref="J357:K357"/>
    <mergeCell ref="B358:C358"/>
    <mergeCell ref="E358:G358"/>
    <mergeCell ref="J358:K358"/>
    <mergeCell ref="B359:C359"/>
    <mergeCell ref="E359:G359"/>
    <mergeCell ref="J359:K359"/>
    <mergeCell ref="B348:C348"/>
    <mergeCell ref="E348:G348"/>
    <mergeCell ref="J348:K348"/>
    <mergeCell ref="B349:C349"/>
    <mergeCell ref="E349:G349"/>
    <mergeCell ref="J349:K349"/>
    <mergeCell ref="B350:C350"/>
    <mergeCell ref="E350:G350"/>
    <mergeCell ref="J350:K350"/>
    <mergeCell ref="B351:C351"/>
    <mergeCell ref="E351:G351"/>
    <mergeCell ref="J351:K351"/>
    <mergeCell ref="B352:C352"/>
    <mergeCell ref="E352:G352"/>
    <mergeCell ref="J352:K352"/>
    <mergeCell ref="B353:C353"/>
    <mergeCell ref="E353:G353"/>
    <mergeCell ref="J353:K353"/>
    <mergeCell ref="B342:C342"/>
    <mergeCell ref="E342:G342"/>
    <mergeCell ref="J342:K342"/>
    <mergeCell ref="B343:C343"/>
    <mergeCell ref="E343:G343"/>
    <mergeCell ref="J343:K343"/>
    <mergeCell ref="B344:C344"/>
    <mergeCell ref="E344:G344"/>
    <mergeCell ref="J344:K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36:C336"/>
    <mergeCell ref="E336:G336"/>
    <mergeCell ref="J336:K336"/>
    <mergeCell ref="B337:C337"/>
    <mergeCell ref="E337:G337"/>
    <mergeCell ref="J337:K337"/>
    <mergeCell ref="B338:C338"/>
    <mergeCell ref="E338:G338"/>
    <mergeCell ref="J338:K338"/>
    <mergeCell ref="B339:C339"/>
    <mergeCell ref="E339:G339"/>
    <mergeCell ref="J339:K339"/>
    <mergeCell ref="B340:C340"/>
    <mergeCell ref="E340:G340"/>
    <mergeCell ref="J340:K340"/>
    <mergeCell ref="B341:C341"/>
    <mergeCell ref="E341:G341"/>
    <mergeCell ref="J341:K341"/>
    <mergeCell ref="B330:C330"/>
    <mergeCell ref="E330:G330"/>
    <mergeCell ref="J330:K330"/>
    <mergeCell ref="B331:C331"/>
    <mergeCell ref="E331:G331"/>
    <mergeCell ref="J331:K331"/>
    <mergeCell ref="B332:C332"/>
    <mergeCell ref="E332:G332"/>
    <mergeCell ref="J332:K332"/>
    <mergeCell ref="B333:C333"/>
    <mergeCell ref="E333:G333"/>
    <mergeCell ref="J333:K333"/>
    <mergeCell ref="B334:C334"/>
    <mergeCell ref="E334:G334"/>
    <mergeCell ref="J334:K334"/>
    <mergeCell ref="B335:C335"/>
    <mergeCell ref="E335:G335"/>
    <mergeCell ref="J335:K335"/>
    <mergeCell ref="B324:C324"/>
    <mergeCell ref="E324:G324"/>
    <mergeCell ref="J324:K324"/>
    <mergeCell ref="B325:C325"/>
    <mergeCell ref="E325:G325"/>
    <mergeCell ref="J325:K325"/>
    <mergeCell ref="B326:C326"/>
    <mergeCell ref="E326:G326"/>
    <mergeCell ref="J326:K326"/>
    <mergeCell ref="B327:C327"/>
    <mergeCell ref="E327:G327"/>
    <mergeCell ref="J327:K327"/>
    <mergeCell ref="B328:C328"/>
    <mergeCell ref="E328:G328"/>
    <mergeCell ref="J328:K328"/>
    <mergeCell ref="B329:C329"/>
    <mergeCell ref="E329:G329"/>
    <mergeCell ref="J329:K329"/>
    <mergeCell ref="B318:C318"/>
    <mergeCell ref="E318:G318"/>
    <mergeCell ref="J318:K318"/>
    <mergeCell ref="B319:C319"/>
    <mergeCell ref="E319:G319"/>
    <mergeCell ref="J319:K319"/>
    <mergeCell ref="B320:C320"/>
    <mergeCell ref="E320:G320"/>
    <mergeCell ref="J320:K320"/>
    <mergeCell ref="B321:C321"/>
    <mergeCell ref="E321:G321"/>
    <mergeCell ref="J321:K321"/>
    <mergeCell ref="B322:C322"/>
    <mergeCell ref="E322:G322"/>
    <mergeCell ref="J322:K322"/>
    <mergeCell ref="B323:C323"/>
    <mergeCell ref="E323:G323"/>
    <mergeCell ref="J323:K323"/>
    <mergeCell ref="B312:C312"/>
    <mergeCell ref="E312:G312"/>
    <mergeCell ref="J312:K312"/>
    <mergeCell ref="B313:C313"/>
    <mergeCell ref="E313:G313"/>
    <mergeCell ref="J313:K313"/>
    <mergeCell ref="B314:C314"/>
    <mergeCell ref="E314:G314"/>
    <mergeCell ref="J314:K314"/>
    <mergeCell ref="B315:C315"/>
    <mergeCell ref="E315:G315"/>
    <mergeCell ref="J315:K315"/>
    <mergeCell ref="B316:C316"/>
    <mergeCell ref="E316:G316"/>
    <mergeCell ref="J316:K316"/>
    <mergeCell ref="B317:C317"/>
    <mergeCell ref="E317:G317"/>
    <mergeCell ref="J317:K317"/>
    <mergeCell ref="B306:C306"/>
    <mergeCell ref="E306:G306"/>
    <mergeCell ref="J306:K306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B310:C310"/>
    <mergeCell ref="E310:G310"/>
    <mergeCell ref="J310:K310"/>
    <mergeCell ref="B311:C311"/>
    <mergeCell ref="E311:G311"/>
    <mergeCell ref="J311:K311"/>
    <mergeCell ref="B300:C300"/>
    <mergeCell ref="E300:G300"/>
    <mergeCell ref="J300:K300"/>
    <mergeCell ref="B301:C301"/>
    <mergeCell ref="E301:G301"/>
    <mergeCell ref="J301:K301"/>
    <mergeCell ref="B302:C302"/>
    <mergeCell ref="E302:G302"/>
    <mergeCell ref="J302:K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B294:C294"/>
    <mergeCell ref="E294:G294"/>
    <mergeCell ref="J294:K294"/>
    <mergeCell ref="B295:C295"/>
    <mergeCell ref="E295:G295"/>
    <mergeCell ref="J295:K295"/>
    <mergeCell ref="B296:C296"/>
    <mergeCell ref="E296:G296"/>
    <mergeCell ref="J296:K296"/>
    <mergeCell ref="B297:C297"/>
    <mergeCell ref="E297:G297"/>
    <mergeCell ref="J297:K297"/>
    <mergeCell ref="B298:C298"/>
    <mergeCell ref="E298:G298"/>
    <mergeCell ref="J298:K298"/>
    <mergeCell ref="B299:C299"/>
    <mergeCell ref="E299:G299"/>
    <mergeCell ref="J299:K299"/>
    <mergeCell ref="B288:C288"/>
    <mergeCell ref="E288:G288"/>
    <mergeCell ref="J288:K288"/>
    <mergeCell ref="B289:C289"/>
    <mergeCell ref="E289:G289"/>
    <mergeCell ref="J289:K289"/>
    <mergeCell ref="B290:C290"/>
    <mergeCell ref="E290:G290"/>
    <mergeCell ref="J290:K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B286:C286"/>
    <mergeCell ref="E286:G286"/>
    <mergeCell ref="J286:K286"/>
    <mergeCell ref="B287:C287"/>
    <mergeCell ref="E287:G287"/>
    <mergeCell ref="J287:K287"/>
    <mergeCell ref="B276:C276"/>
    <mergeCell ref="E276:G276"/>
    <mergeCell ref="J276:K276"/>
    <mergeCell ref="B277:C277"/>
    <mergeCell ref="E277:G277"/>
    <mergeCell ref="J277:K277"/>
    <mergeCell ref="B278:C278"/>
    <mergeCell ref="E278:G278"/>
    <mergeCell ref="J278:K278"/>
    <mergeCell ref="B279:C279"/>
    <mergeCell ref="E279:G279"/>
    <mergeCell ref="J279:K279"/>
    <mergeCell ref="B280:C280"/>
    <mergeCell ref="E280:G280"/>
    <mergeCell ref="J280:K280"/>
    <mergeCell ref="B281:C281"/>
    <mergeCell ref="E281:G281"/>
    <mergeCell ref="J281:K281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B274:C274"/>
    <mergeCell ref="E274:G274"/>
    <mergeCell ref="J274:K274"/>
    <mergeCell ref="B275:C275"/>
    <mergeCell ref="E275:G275"/>
    <mergeCell ref="J275:K275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B263:C263"/>
    <mergeCell ref="E263:G263"/>
    <mergeCell ref="J263:K263"/>
    <mergeCell ref="B252:C252"/>
    <mergeCell ref="E252:G252"/>
    <mergeCell ref="J252:K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B257:C257"/>
    <mergeCell ref="E257:G257"/>
    <mergeCell ref="J257:K257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40:C240"/>
    <mergeCell ref="E240:G240"/>
    <mergeCell ref="J240:K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44:C244"/>
    <mergeCell ref="E244:G244"/>
    <mergeCell ref="J244:K244"/>
    <mergeCell ref="B245:C245"/>
    <mergeCell ref="E245:G245"/>
    <mergeCell ref="J245:K245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B239:C239"/>
    <mergeCell ref="E239:G239"/>
    <mergeCell ref="J239:K239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B227:C227"/>
    <mergeCell ref="E227:G227"/>
    <mergeCell ref="J227:K227"/>
    <mergeCell ref="B216:C216"/>
    <mergeCell ref="E216:G216"/>
    <mergeCell ref="J216:K216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20:C220"/>
    <mergeCell ref="E220:G220"/>
    <mergeCell ref="J220:K220"/>
    <mergeCell ref="B221:C221"/>
    <mergeCell ref="E221:G221"/>
    <mergeCell ref="J221:K221"/>
    <mergeCell ref="B210:C210"/>
    <mergeCell ref="E210:G210"/>
    <mergeCell ref="J210:K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B209:C209"/>
    <mergeCell ref="E209:G209"/>
    <mergeCell ref="J209:K209"/>
    <mergeCell ref="B198:C198"/>
    <mergeCell ref="E198:G198"/>
    <mergeCell ref="J198:K198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B173:C173"/>
    <mergeCell ref="E173:G173"/>
    <mergeCell ref="J173:K173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44:C144"/>
    <mergeCell ref="E144:G144"/>
    <mergeCell ref="J144:K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18:C118"/>
    <mergeCell ref="E118:G118"/>
    <mergeCell ref="J118:K118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D119:D120"/>
    <mergeCell ref="D121:D122"/>
    <mergeCell ref="D123:D124"/>
    <mergeCell ref="D125:D126"/>
    <mergeCell ref="B123:C124"/>
    <mergeCell ref="J123:K124"/>
    <mergeCell ref="E123:G124"/>
    <mergeCell ref="B125:C126"/>
    <mergeCell ref="J125:K126"/>
    <mergeCell ref="E125:G126"/>
    <mergeCell ref="B94:C94"/>
    <mergeCell ref="E94:G94"/>
    <mergeCell ref="J94:K94"/>
    <mergeCell ref="B95:C95"/>
    <mergeCell ref="E95:G95"/>
    <mergeCell ref="J95:K95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H96:H97"/>
    <mergeCell ref="H98:H99"/>
    <mergeCell ref="H100:H101"/>
    <mergeCell ref="H102:H103"/>
    <mergeCell ref="H104:H105"/>
    <mergeCell ref="H106:H10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4:C4"/>
    <mergeCell ref="E4:G4"/>
    <mergeCell ref="J4:K4"/>
    <mergeCell ref="B5:C5"/>
    <mergeCell ref="E5:G5"/>
    <mergeCell ref="J5:K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</mergeCells>
  <printOptions horizontalCentered="1"/>
  <pageMargins left="0.51968541666667001" right="0.51968541666667001" top="0.74803125000000004" bottom="0" header="0" footer="0"/>
  <pageSetup paperSize="9" orientation="portrait"/>
  <headerFooter>
    <oddHeader>&amp;L 
&amp;"宋体,加粗"&amp;10 工程名称: &amp;"宋体,加粗"&amp;10 1#2#仓库土建装饰工程 &amp;C &amp;"宋体,加粗"&amp;20 分部分项工程项目清单计价表
 &amp;"宋体,加粗"&amp;10 标段: &amp;"宋体,加粗"&amp;10  &amp;R 
&amp;"宋体,加粗"&amp;10 第&amp;P页, 共&amp;N页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/>
  </sheetViews>
  <sheetFormatPr defaultColWidth="9" defaultRowHeight="12"/>
  <cols>
    <col min="1" max="1" width="7.109375" customWidth="1"/>
    <col min="2" max="2" width="4.6640625" customWidth="1"/>
    <col min="3" max="3" width="10.5546875" customWidth="1"/>
    <col min="4" max="4" width="22.21875" customWidth="1"/>
    <col min="5" max="5" width="6.44140625" customWidth="1"/>
    <col min="6" max="6" width="9.21875" customWidth="1"/>
    <col min="7" max="7" width="15" customWidth="1"/>
    <col min="8" max="8" width="8.44140625" customWidth="1"/>
    <col min="9" max="9" width="6.6640625" customWidth="1"/>
    <col min="10" max="10" width="17.88671875" customWidth="1"/>
  </cols>
  <sheetData>
    <row r="1" spans="1:10" ht="23" customHeight="1">
      <c r="A1" s="2" t="s">
        <v>0</v>
      </c>
      <c r="B1" s="13" t="s">
        <v>70</v>
      </c>
      <c r="C1" s="13"/>
      <c r="D1" s="2" t="s">
        <v>71</v>
      </c>
      <c r="E1" s="13" t="s">
        <v>614</v>
      </c>
      <c r="F1" s="13"/>
      <c r="G1" s="13"/>
      <c r="H1" s="13" t="s">
        <v>615</v>
      </c>
      <c r="I1" s="13"/>
      <c r="J1" s="2" t="s">
        <v>616</v>
      </c>
    </row>
    <row r="2" spans="1:10" ht="23" customHeight="1">
      <c r="A2" s="3" t="s">
        <v>3</v>
      </c>
      <c r="B2" s="14" t="s">
        <v>617</v>
      </c>
      <c r="C2" s="14"/>
      <c r="D2" s="4" t="s">
        <v>618</v>
      </c>
      <c r="E2" s="19" t="s">
        <v>53</v>
      </c>
      <c r="F2" s="19"/>
      <c r="G2" s="19"/>
      <c r="H2" s="15" t="s">
        <v>619</v>
      </c>
      <c r="I2" s="15"/>
      <c r="J2" s="4" t="s">
        <v>53</v>
      </c>
    </row>
    <row r="3" spans="1:10" ht="23" customHeight="1">
      <c r="A3" s="3" t="s">
        <v>42</v>
      </c>
      <c r="B3" s="14" t="s">
        <v>620</v>
      </c>
      <c r="C3" s="14"/>
      <c r="D3" s="4" t="s">
        <v>621</v>
      </c>
      <c r="E3" s="19" t="s">
        <v>53</v>
      </c>
      <c r="F3" s="19"/>
      <c r="G3" s="19"/>
      <c r="H3" s="15" t="s">
        <v>622</v>
      </c>
      <c r="I3" s="15"/>
      <c r="J3" s="4" t="s">
        <v>53</v>
      </c>
    </row>
    <row r="4" spans="1:10" ht="36" customHeight="1">
      <c r="A4" s="3" t="s">
        <v>48</v>
      </c>
      <c r="B4" s="14" t="s">
        <v>623</v>
      </c>
      <c r="C4" s="14"/>
      <c r="D4" s="4" t="s">
        <v>624</v>
      </c>
      <c r="E4" s="19" t="s">
        <v>53</v>
      </c>
      <c r="F4" s="19"/>
      <c r="G4" s="19"/>
      <c r="H4" s="15" t="s">
        <v>625</v>
      </c>
      <c r="I4" s="15"/>
      <c r="J4" s="4" t="s">
        <v>53</v>
      </c>
    </row>
    <row r="5" spans="1:10" ht="23" customHeight="1">
      <c r="A5" s="3" t="s">
        <v>62</v>
      </c>
      <c r="B5" s="14" t="s">
        <v>626</v>
      </c>
      <c r="C5" s="14"/>
      <c r="D5" s="4" t="s">
        <v>627</v>
      </c>
      <c r="E5" s="19" t="s">
        <v>53</v>
      </c>
      <c r="F5" s="19"/>
      <c r="G5" s="19"/>
      <c r="H5" s="15" t="s">
        <v>53</v>
      </c>
      <c r="I5" s="15"/>
      <c r="J5" s="4" t="s">
        <v>53</v>
      </c>
    </row>
    <row r="6" spans="1:10" ht="23" customHeight="1">
      <c r="A6" s="3" t="s">
        <v>65</v>
      </c>
      <c r="B6" s="14" t="s">
        <v>628</v>
      </c>
      <c r="C6" s="14"/>
      <c r="D6" s="4" t="s">
        <v>629</v>
      </c>
      <c r="E6" s="19" t="s">
        <v>53</v>
      </c>
      <c r="F6" s="19"/>
      <c r="G6" s="19"/>
      <c r="H6" s="15" t="s">
        <v>53</v>
      </c>
      <c r="I6" s="15"/>
      <c r="J6" s="4" t="s">
        <v>53</v>
      </c>
    </row>
    <row r="7" spans="1:10" ht="23" customHeight="1">
      <c r="A7" s="3" t="s">
        <v>630</v>
      </c>
      <c r="B7" s="14" t="s">
        <v>631</v>
      </c>
      <c r="C7" s="14"/>
      <c r="D7" s="4" t="s">
        <v>632</v>
      </c>
      <c r="E7" s="19" t="s">
        <v>53</v>
      </c>
      <c r="F7" s="19"/>
      <c r="G7" s="19"/>
      <c r="H7" s="15" t="s">
        <v>633</v>
      </c>
      <c r="I7" s="15"/>
      <c r="J7" s="4" t="s">
        <v>53</v>
      </c>
    </row>
    <row r="8" spans="1:10" ht="23" customHeight="1">
      <c r="A8" s="3" t="s">
        <v>634</v>
      </c>
      <c r="B8" s="14" t="s">
        <v>635</v>
      </c>
      <c r="C8" s="14"/>
      <c r="D8" s="4" t="s">
        <v>636</v>
      </c>
      <c r="E8" s="19" t="s">
        <v>53</v>
      </c>
      <c r="F8" s="19"/>
      <c r="G8" s="19"/>
      <c r="H8" s="15" t="s">
        <v>637</v>
      </c>
      <c r="I8" s="15"/>
      <c r="J8" s="4" t="s">
        <v>53</v>
      </c>
    </row>
    <row r="9" spans="1:10" ht="23" customHeight="1">
      <c r="A9" s="3" t="s">
        <v>638</v>
      </c>
      <c r="B9" s="14" t="s">
        <v>639</v>
      </c>
      <c r="C9" s="14"/>
      <c r="D9" s="4" t="s">
        <v>640</v>
      </c>
      <c r="E9" s="19" t="s">
        <v>53</v>
      </c>
      <c r="F9" s="19"/>
      <c r="G9" s="19"/>
      <c r="H9" s="15" t="s">
        <v>641</v>
      </c>
      <c r="I9" s="15"/>
      <c r="J9" s="4" t="s">
        <v>53</v>
      </c>
    </row>
    <row r="10" spans="1:10" ht="36" customHeight="1">
      <c r="A10" s="3" t="s">
        <v>642</v>
      </c>
      <c r="B10" s="14" t="s">
        <v>643</v>
      </c>
      <c r="C10" s="14"/>
      <c r="D10" s="4" t="s">
        <v>644</v>
      </c>
      <c r="E10" s="19" t="s">
        <v>53</v>
      </c>
      <c r="F10" s="19"/>
      <c r="G10" s="19"/>
      <c r="H10" s="15" t="s">
        <v>47</v>
      </c>
      <c r="I10" s="15"/>
      <c r="J10" s="4" t="s">
        <v>645</v>
      </c>
    </row>
    <row r="11" spans="1:10" ht="23" customHeight="1">
      <c r="A11" s="3" t="s">
        <v>646</v>
      </c>
      <c r="B11" s="14" t="s">
        <v>647</v>
      </c>
      <c r="C11" s="14"/>
      <c r="D11" s="4" t="s">
        <v>648</v>
      </c>
      <c r="E11" s="19" t="s">
        <v>53</v>
      </c>
      <c r="F11" s="19"/>
      <c r="G11" s="19"/>
      <c r="H11" s="15" t="s">
        <v>53</v>
      </c>
      <c r="I11" s="15"/>
      <c r="J11" s="4" t="s">
        <v>53</v>
      </c>
    </row>
    <row r="12" spans="1:10" ht="23" customHeight="1">
      <c r="A12" s="3" t="s">
        <v>649</v>
      </c>
      <c r="B12" s="14" t="s">
        <v>650</v>
      </c>
      <c r="C12" s="14"/>
      <c r="D12" s="4" t="s">
        <v>651</v>
      </c>
      <c r="E12" s="19" t="s">
        <v>53</v>
      </c>
      <c r="F12" s="19"/>
      <c r="G12" s="19"/>
      <c r="H12" s="15" t="s">
        <v>53</v>
      </c>
      <c r="I12" s="15"/>
      <c r="J12" s="4" t="s">
        <v>53</v>
      </c>
    </row>
    <row r="13" spans="1:10" ht="23" customHeight="1">
      <c r="A13" s="3" t="s">
        <v>652</v>
      </c>
      <c r="B13" s="14" t="s">
        <v>653</v>
      </c>
      <c r="C13" s="14"/>
      <c r="D13" s="4" t="s">
        <v>654</v>
      </c>
      <c r="E13" s="19" t="s">
        <v>53</v>
      </c>
      <c r="F13" s="19"/>
      <c r="G13" s="19"/>
      <c r="H13" s="15" t="s">
        <v>53</v>
      </c>
      <c r="I13" s="15"/>
      <c r="J13" s="4" t="s">
        <v>53</v>
      </c>
    </row>
    <row r="14" spans="1:10" ht="23" customHeight="1">
      <c r="A14" s="3" t="s">
        <v>655</v>
      </c>
      <c r="B14" s="14" t="s">
        <v>656</v>
      </c>
      <c r="C14" s="14"/>
      <c r="D14" s="4" t="s">
        <v>657</v>
      </c>
      <c r="E14" s="19" t="s">
        <v>53</v>
      </c>
      <c r="F14" s="19"/>
      <c r="G14" s="19"/>
      <c r="H14" s="15" t="s">
        <v>53</v>
      </c>
      <c r="I14" s="15"/>
      <c r="J14" s="4" t="s">
        <v>53</v>
      </c>
    </row>
    <row r="15" spans="1:10" ht="23" customHeight="1">
      <c r="A15" s="3" t="s">
        <v>658</v>
      </c>
      <c r="B15" s="14" t="s">
        <v>659</v>
      </c>
      <c r="C15" s="14"/>
      <c r="D15" s="4" t="s">
        <v>660</v>
      </c>
      <c r="E15" s="19" t="s">
        <v>53</v>
      </c>
      <c r="F15" s="19"/>
      <c r="G15" s="19"/>
      <c r="H15" s="15" t="s">
        <v>53</v>
      </c>
      <c r="I15" s="15"/>
      <c r="J15" s="4" t="s">
        <v>53</v>
      </c>
    </row>
    <row r="16" spans="1:10" ht="36" customHeight="1">
      <c r="A16" s="3" t="s">
        <v>661</v>
      </c>
      <c r="B16" s="14" t="s">
        <v>662</v>
      </c>
      <c r="C16" s="14"/>
      <c r="D16" s="4" t="s">
        <v>663</v>
      </c>
      <c r="E16" s="19" t="s">
        <v>53</v>
      </c>
      <c r="F16" s="19"/>
      <c r="G16" s="19"/>
      <c r="H16" s="15" t="s">
        <v>53</v>
      </c>
      <c r="I16" s="15"/>
      <c r="J16" s="4" t="s">
        <v>53</v>
      </c>
    </row>
    <row r="17" spans="1:10" ht="66" customHeight="1">
      <c r="A17" s="3" t="s">
        <v>664</v>
      </c>
      <c r="B17" s="14" t="s">
        <v>665</v>
      </c>
      <c r="C17" s="14"/>
      <c r="D17" s="4" t="s">
        <v>666</v>
      </c>
      <c r="E17" s="19" t="s">
        <v>53</v>
      </c>
      <c r="F17" s="19"/>
      <c r="G17" s="19"/>
      <c r="H17" s="15" t="s">
        <v>53</v>
      </c>
      <c r="I17" s="15"/>
      <c r="J17" s="4" t="s">
        <v>667</v>
      </c>
    </row>
    <row r="18" spans="1:10" ht="51" customHeight="1">
      <c r="A18" s="3" t="s">
        <v>668</v>
      </c>
      <c r="B18" s="14" t="s">
        <v>669</v>
      </c>
      <c r="C18" s="14"/>
      <c r="D18" s="4" t="s">
        <v>670</v>
      </c>
      <c r="E18" s="19" t="s">
        <v>53</v>
      </c>
      <c r="F18" s="19"/>
      <c r="G18" s="19"/>
      <c r="H18" s="15" t="s">
        <v>53</v>
      </c>
      <c r="I18" s="15"/>
      <c r="J18" s="4" t="s">
        <v>53</v>
      </c>
    </row>
    <row r="19" spans="1:10" ht="36" customHeight="1">
      <c r="A19" s="3" t="s">
        <v>671</v>
      </c>
      <c r="B19" s="14" t="s">
        <v>672</v>
      </c>
      <c r="C19" s="14"/>
      <c r="D19" s="4" t="s">
        <v>673</v>
      </c>
      <c r="E19" s="19" t="s">
        <v>53</v>
      </c>
      <c r="F19" s="19"/>
      <c r="G19" s="19"/>
      <c r="H19" s="15" t="s">
        <v>53</v>
      </c>
      <c r="I19" s="15"/>
      <c r="J19" s="4" t="s">
        <v>53</v>
      </c>
    </row>
    <row r="20" spans="1:10" ht="23" customHeight="1">
      <c r="A20" s="3" t="s">
        <v>674</v>
      </c>
      <c r="B20" s="14" t="s">
        <v>675</v>
      </c>
      <c r="C20" s="14"/>
      <c r="D20" s="4" t="s">
        <v>676</v>
      </c>
      <c r="E20" s="19" t="s">
        <v>53</v>
      </c>
      <c r="F20" s="19"/>
      <c r="G20" s="19"/>
      <c r="H20" s="15" t="s">
        <v>53</v>
      </c>
      <c r="I20" s="15"/>
      <c r="J20" s="4" t="s">
        <v>53</v>
      </c>
    </row>
    <row r="21" spans="1:10" ht="23" customHeight="1">
      <c r="A21" s="3" t="s">
        <v>677</v>
      </c>
      <c r="B21" s="14" t="s">
        <v>678</v>
      </c>
      <c r="C21" s="14"/>
      <c r="D21" s="4" t="s">
        <v>679</v>
      </c>
      <c r="E21" s="19" t="s">
        <v>53</v>
      </c>
      <c r="F21" s="19"/>
      <c r="G21" s="19"/>
      <c r="H21" s="15" t="s">
        <v>53</v>
      </c>
      <c r="I21" s="15"/>
      <c r="J21" s="4" t="s">
        <v>53</v>
      </c>
    </row>
    <row r="22" spans="1:10" ht="23" customHeight="1">
      <c r="A22" s="3" t="s">
        <v>680</v>
      </c>
      <c r="B22" s="14" t="s">
        <v>681</v>
      </c>
      <c r="C22" s="14"/>
      <c r="D22" s="4" t="s">
        <v>682</v>
      </c>
      <c r="E22" s="19" t="s">
        <v>53</v>
      </c>
      <c r="F22" s="19"/>
      <c r="G22" s="19"/>
      <c r="H22" s="15" t="s">
        <v>53</v>
      </c>
      <c r="I22" s="15"/>
      <c r="J22" s="4" t="s">
        <v>53</v>
      </c>
    </row>
    <row r="23" spans="1:10" ht="36" customHeight="1">
      <c r="A23" s="3" t="s">
        <v>683</v>
      </c>
      <c r="B23" s="14" t="s">
        <v>684</v>
      </c>
      <c r="C23" s="14"/>
      <c r="D23" s="4" t="s">
        <v>685</v>
      </c>
      <c r="E23" s="19" t="s">
        <v>53</v>
      </c>
      <c r="F23" s="19"/>
      <c r="G23" s="19"/>
      <c r="H23" s="15" t="s">
        <v>53</v>
      </c>
      <c r="I23" s="15"/>
      <c r="J23" s="4" t="s">
        <v>53</v>
      </c>
    </row>
    <row r="24" spans="1:10" ht="23" customHeight="1">
      <c r="A24" s="3" t="s">
        <v>686</v>
      </c>
      <c r="B24" s="14" t="s">
        <v>687</v>
      </c>
      <c r="C24" s="14"/>
      <c r="D24" s="4" t="s">
        <v>688</v>
      </c>
      <c r="E24" s="19" t="s">
        <v>53</v>
      </c>
      <c r="F24" s="19"/>
      <c r="G24" s="19"/>
      <c r="H24" s="15" t="s">
        <v>53</v>
      </c>
      <c r="I24" s="15"/>
      <c r="J24" s="4" t="s">
        <v>53</v>
      </c>
    </row>
    <row r="25" spans="1:10" ht="23" customHeight="1">
      <c r="A25" s="3" t="s">
        <v>689</v>
      </c>
      <c r="B25" s="14" t="s">
        <v>690</v>
      </c>
      <c r="C25" s="14"/>
      <c r="D25" s="4" t="s">
        <v>691</v>
      </c>
      <c r="E25" s="19" t="s">
        <v>53</v>
      </c>
      <c r="F25" s="19"/>
      <c r="G25" s="19"/>
      <c r="H25" s="15" t="s">
        <v>53</v>
      </c>
      <c r="I25" s="15"/>
      <c r="J25" s="4" t="s">
        <v>53</v>
      </c>
    </row>
    <row r="26" spans="1:10" ht="36" customHeight="1">
      <c r="A26" s="3" t="s">
        <v>692</v>
      </c>
      <c r="B26" s="14" t="s">
        <v>693</v>
      </c>
      <c r="C26" s="14"/>
      <c r="D26" s="4" t="s">
        <v>694</v>
      </c>
      <c r="E26" s="19" t="s">
        <v>53</v>
      </c>
      <c r="F26" s="19"/>
      <c r="G26" s="19"/>
      <c r="H26" s="15" t="s">
        <v>53</v>
      </c>
      <c r="I26" s="15"/>
      <c r="J26" s="4" t="s">
        <v>53</v>
      </c>
    </row>
    <row r="27" spans="1:10" ht="23" customHeight="1">
      <c r="A27" s="3" t="s">
        <v>695</v>
      </c>
      <c r="B27" s="14" t="s">
        <v>696</v>
      </c>
      <c r="C27" s="14"/>
      <c r="D27" s="4" t="s">
        <v>697</v>
      </c>
      <c r="E27" s="19" t="s">
        <v>53</v>
      </c>
      <c r="F27" s="19"/>
      <c r="G27" s="19"/>
      <c r="H27" s="15" t="s">
        <v>53</v>
      </c>
      <c r="I27" s="15"/>
      <c r="J27" s="4" t="s">
        <v>53</v>
      </c>
    </row>
    <row r="28" spans="1:10" ht="23" customHeight="1">
      <c r="A28" s="17" t="s">
        <v>613</v>
      </c>
      <c r="B28" s="17"/>
      <c r="C28" s="17"/>
      <c r="D28" s="17"/>
      <c r="E28" s="17"/>
      <c r="F28" s="17"/>
      <c r="G28" s="17"/>
      <c r="H28" s="15" t="s">
        <v>44</v>
      </c>
      <c r="I28" s="15"/>
      <c r="J28" s="3" t="s">
        <v>698</v>
      </c>
    </row>
  </sheetData>
  <mergeCells count="83">
    <mergeCell ref="B27:C27"/>
    <mergeCell ref="E27:G27"/>
    <mergeCell ref="H27:I27"/>
    <mergeCell ref="A28:G28"/>
    <mergeCell ref="H28:I28"/>
    <mergeCell ref="B25:C25"/>
    <mergeCell ref="E25:G25"/>
    <mergeCell ref="H25:I25"/>
    <mergeCell ref="B26:C26"/>
    <mergeCell ref="E26:G26"/>
    <mergeCell ref="H26:I26"/>
    <mergeCell ref="B23:C23"/>
    <mergeCell ref="E23:G23"/>
    <mergeCell ref="H23:I23"/>
    <mergeCell ref="B24:C24"/>
    <mergeCell ref="E24:G24"/>
    <mergeCell ref="H24:I24"/>
    <mergeCell ref="B21:C21"/>
    <mergeCell ref="E21:G21"/>
    <mergeCell ref="H21:I21"/>
    <mergeCell ref="B22:C22"/>
    <mergeCell ref="E22:G22"/>
    <mergeCell ref="H22:I22"/>
    <mergeCell ref="B19:C19"/>
    <mergeCell ref="E19:G19"/>
    <mergeCell ref="H19:I19"/>
    <mergeCell ref="B20:C20"/>
    <mergeCell ref="E20:G20"/>
    <mergeCell ref="H20:I20"/>
    <mergeCell ref="B17:C17"/>
    <mergeCell ref="E17:G17"/>
    <mergeCell ref="H17:I17"/>
    <mergeCell ref="B18:C18"/>
    <mergeCell ref="E18:G18"/>
    <mergeCell ref="H18:I18"/>
    <mergeCell ref="B15:C15"/>
    <mergeCell ref="E15:G15"/>
    <mergeCell ref="H15:I15"/>
    <mergeCell ref="B16:C16"/>
    <mergeCell ref="E16:G16"/>
    <mergeCell ref="H16:I16"/>
    <mergeCell ref="B13:C13"/>
    <mergeCell ref="E13:G13"/>
    <mergeCell ref="H13:I13"/>
    <mergeCell ref="B14:C14"/>
    <mergeCell ref="E14:G14"/>
    <mergeCell ref="H14:I14"/>
    <mergeCell ref="B11:C11"/>
    <mergeCell ref="E11:G11"/>
    <mergeCell ref="H11:I11"/>
    <mergeCell ref="B12:C12"/>
    <mergeCell ref="E12:G12"/>
    <mergeCell ref="H12:I12"/>
    <mergeCell ref="B9:C9"/>
    <mergeCell ref="E9:G9"/>
    <mergeCell ref="H9:I9"/>
    <mergeCell ref="B10:C10"/>
    <mergeCell ref="E10:G10"/>
    <mergeCell ref="H10:I10"/>
    <mergeCell ref="B7:C7"/>
    <mergeCell ref="E7:G7"/>
    <mergeCell ref="H7:I7"/>
    <mergeCell ref="B8:C8"/>
    <mergeCell ref="E8:G8"/>
    <mergeCell ref="H8:I8"/>
    <mergeCell ref="B5:C5"/>
    <mergeCell ref="E5:G5"/>
    <mergeCell ref="H5:I5"/>
    <mergeCell ref="B6:C6"/>
    <mergeCell ref="E6:G6"/>
    <mergeCell ref="H6:I6"/>
    <mergeCell ref="B3:C3"/>
    <mergeCell ref="E3:G3"/>
    <mergeCell ref="H3:I3"/>
    <mergeCell ref="B4:C4"/>
    <mergeCell ref="E4:G4"/>
    <mergeCell ref="H4:I4"/>
    <mergeCell ref="B1:C1"/>
    <mergeCell ref="E1:G1"/>
    <mergeCell ref="H1:I1"/>
    <mergeCell ref="B2:C2"/>
    <mergeCell ref="E2:G2"/>
    <mergeCell ref="H2:I2"/>
  </mergeCells>
  <printOptions horizontalCentered="1"/>
  <pageMargins left="0.51968541666667001" right="0.51968541666667001" top="0.74803125000000004" bottom="0" header="0" footer="0"/>
  <pageSetup paperSize="9" orientation="portrait"/>
  <headerFooter>
    <oddHeader>&amp;L 
&amp;"宋体,加粗"&amp;10 工程名称: &amp;"宋体,加粗"&amp;10 1#2#仓库土建装饰工程 &amp;C &amp;"宋体,加粗"&amp;20 措施项目清单计价表
 &amp;"宋体,加粗"&amp;10 标段: &amp;"宋体,加粗"&amp;10  &amp;R 
&amp;"宋体,加粗"&amp;10 第&amp;P页, 共&amp;N页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sqref="A1:J1"/>
    </sheetView>
  </sheetViews>
  <sheetFormatPr defaultColWidth="9" defaultRowHeight="12"/>
  <cols>
    <col min="1" max="1" width="7.109375" customWidth="1"/>
    <col min="2" max="2" width="4.6640625" customWidth="1"/>
    <col min="3" max="3" width="29.88671875" customWidth="1"/>
    <col min="4" max="4" width="11.44140625" customWidth="1"/>
    <col min="5" max="6" width="4.6640625" customWidth="1"/>
    <col min="7" max="7" width="11.21875" customWidth="1"/>
    <col min="8" max="8" width="13" customWidth="1"/>
    <col min="9" max="9" width="3" customWidth="1"/>
    <col min="10" max="10" width="21.77734375" customWidth="1"/>
  </cols>
  <sheetData>
    <row r="1" spans="1:10" ht="36" customHeight="1">
      <c r="A1" s="20" t="s">
        <v>699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4" customHeight="1">
      <c r="A2" s="21" t="s">
        <v>700</v>
      </c>
      <c r="B2" s="21"/>
      <c r="C2" s="21" t="s">
        <v>701</v>
      </c>
      <c r="D2" s="21"/>
      <c r="E2" s="22" t="s">
        <v>702</v>
      </c>
      <c r="F2" s="22"/>
      <c r="G2" s="21" t="s">
        <v>53</v>
      </c>
      <c r="H2" s="21"/>
      <c r="I2" s="22" t="s">
        <v>703</v>
      </c>
      <c r="J2" s="22"/>
    </row>
    <row r="3" spans="1:10" ht="36" customHeight="1">
      <c r="A3" s="2" t="s">
        <v>0</v>
      </c>
      <c r="B3" s="13" t="s">
        <v>71</v>
      </c>
      <c r="C3" s="13"/>
      <c r="D3" s="13" t="s">
        <v>704</v>
      </c>
      <c r="E3" s="13"/>
      <c r="F3" s="13" t="s">
        <v>705</v>
      </c>
      <c r="G3" s="13"/>
      <c r="H3" s="13" t="s">
        <v>706</v>
      </c>
      <c r="I3" s="13"/>
      <c r="J3" s="2" t="s">
        <v>616</v>
      </c>
    </row>
    <row r="4" spans="1:10" ht="23" customHeight="1">
      <c r="A4" s="3" t="s">
        <v>3</v>
      </c>
      <c r="B4" s="14" t="s">
        <v>707</v>
      </c>
      <c r="C4" s="14"/>
      <c r="D4" s="15" t="s">
        <v>53</v>
      </c>
      <c r="E4" s="15"/>
      <c r="F4" s="15" t="s">
        <v>53</v>
      </c>
      <c r="G4" s="15"/>
      <c r="H4" s="14" t="s">
        <v>53</v>
      </c>
      <c r="I4" s="14"/>
      <c r="J4" s="7" t="s">
        <v>53</v>
      </c>
    </row>
    <row r="5" spans="1:10" ht="23" customHeight="1">
      <c r="A5" s="3" t="s">
        <v>42</v>
      </c>
      <c r="B5" s="14" t="s">
        <v>708</v>
      </c>
      <c r="C5" s="14"/>
      <c r="D5" s="15" t="s">
        <v>53</v>
      </c>
      <c r="E5" s="15"/>
      <c r="F5" s="15" t="s">
        <v>53</v>
      </c>
      <c r="G5" s="15"/>
      <c r="H5" s="14" t="s">
        <v>53</v>
      </c>
      <c r="I5" s="14"/>
      <c r="J5" s="7" t="s">
        <v>709</v>
      </c>
    </row>
    <row r="6" spans="1:10" ht="23" customHeight="1">
      <c r="A6" s="3" t="s">
        <v>48</v>
      </c>
      <c r="B6" s="14" t="s">
        <v>710</v>
      </c>
      <c r="C6" s="14"/>
      <c r="D6" s="15" t="s">
        <v>53</v>
      </c>
      <c r="E6" s="15"/>
      <c r="F6" s="15" t="s">
        <v>53</v>
      </c>
      <c r="G6" s="15"/>
      <c r="H6" s="14" t="s">
        <v>53</v>
      </c>
      <c r="I6" s="14"/>
      <c r="J6" s="7" t="s">
        <v>53</v>
      </c>
    </row>
    <row r="7" spans="1:10" ht="23" customHeight="1">
      <c r="A7" s="3" t="s">
        <v>62</v>
      </c>
      <c r="B7" s="14" t="s">
        <v>711</v>
      </c>
      <c r="C7" s="14"/>
      <c r="D7" s="15" t="s">
        <v>53</v>
      </c>
      <c r="E7" s="15"/>
      <c r="F7" s="15" t="s">
        <v>53</v>
      </c>
      <c r="G7" s="15"/>
      <c r="H7" s="14" t="s">
        <v>53</v>
      </c>
      <c r="I7" s="14"/>
      <c r="J7" s="7" t="s">
        <v>53</v>
      </c>
    </row>
    <row r="8" spans="1:10" ht="51" customHeight="1">
      <c r="A8" s="3" t="s">
        <v>65</v>
      </c>
      <c r="B8" s="14" t="s">
        <v>712</v>
      </c>
      <c r="C8" s="14"/>
      <c r="D8" s="15" t="s">
        <v>50</v>
      </c>
      <c r="E8" s="15"/>
      <c r="F8" s="15" t="s">
        <v>53</v>
      </c>
      <c r="G8" s="15"/>
      <c r="H8" s="14" t="s">
        <v>53</v>
      </c>
      <c r="I8" s="14"/>
      <c r="J8" s="7" t="s">
        <v>713</v>
      </c>
    </row>
    <row r="9" spans="1:10" ht="66" customHeight="1">
      <c r="A9" s="3" t="s">
        <v>630</v>
      </c>
      <c r="B9" s="14" t="s">
        <v>714</v>
      </c>
      <c r="C9" s="14"/>
      <c r="D9" s="15" t="s">
        <v>53</v>
      </c>
      <c r="E9" s="15"/>
      <c r="F9" s="15" t="s">
        <v>53</v>
      </c>
      <c r="G9" s="15"/>
      <c r="H9" s="14" t="s">
        <v>53</v>
      </c>
      <c r="I9" s="14"/>
      <c r="J9" s="7" t="s">
        <v>715</v>
      </c>
    </row>
    <row r="10" spans="1:10" ht="23" customHeight="1">
      <c r="A10" s="3" t="s">
        <v>634</v>
      </c>
      <c r="B10" s="14" t="s">
        <v>716</v>
      </c>
      <c r="C10" s="14"/>
      <c r="D10" s="15" t="s">
        <v>53</v>
      </c>
      <c r="E10" s="15"/>
      <c r="F10" s="15" t="s">
        <v>53</v>
      </c>
      <c r="G10" s="15"/>
      <c r="H10" s="14" t="s">
        <v>53</v>
      </c>
      <c r="I10" s="14"/>
      <c r="J10" s="7" t="s">
        <v>53</v>
      </c>
    </row>
    <row r="11" spans="1:10" ht="23" customHeight="1">
      <c r="A11" s="17" t="s">
        <v>613</v>
      </c>
      <c r="B11" s="17"/>
      <c r="C11" s="17"/>
      <c r="D11" s="15" t="s">
        <v>50</v>
      </c>
      <c r="E11" s="15"/>
      <c r="F11" s="23" t="s">
        <v>53</v>
      </c>
      <c r="G11" s="23"/>
      <c r="H11" s="23" t="s">
        <v>53</v>
      </c>
      <c r="I11" s="23"/>
      <c r="J11" s="3" t="s">
        <v>698</v>
      </c>
    </row>
  </sheetData>
  <mergeCells count="42">
    <mergeCell ref="A11:C11"/>
    <mergeCell ref="D11:E11"/>
    <mergeCell ref="F11:G11"/>
    <mergeCell ref="H11:I11"/>
    <mergeCell ref="B9:C9"/>
    <mergeCell ref="D9:E9"/>
    <mergeCell ref="F9:G9"/>
    <mergeCell ref="H9:I9"/>
    <mergeCell ref="B10:C10"/>
    <mergeCell ref="D10:E10"/>
    <mergeCell ref="F10:G10"/>
    <mergeCell ref="H10:I10"/>
    <mergeCell ref="B7:C7"/>
    <mergeCell ref="D7:E7"/>
    <mergeCell ref="F7:G7"/>
    <mergeCell ref="H7:I7"/>
    <mergeCell ref="B8:C8"/>
    <mergeCell ref="D8:E8"/>
    <mergeCell ref="F8:G8"/>
    <mergeCell ref="H8:I8"/>
    <mergeCell ref="B5:C5"/>
    <mergeCell ref="D5:E5"/>
    <mergeCell ref="F5:G5"/>
    <mergeCell ref="H5:I5"/>
    <mergeCell ref="B6:C6"/>
    <mergeCell ref="D6:E6"/>
    <mergeCell ref="F6:G6"/>
    <mergeCell ref="H6:I6"/>
    <mergeCell ref="B3:C3"/>
    <mergeCell ref="D3:E3"/>
    <mergeCell ref="F3:G3"/>
    <mergeCell ref="H3:I3"/>
    <mergeCell ref="B4:C4"/>
    <mergeCell ref="D4:E4"/>
    <mergeCell ref="F4:G4"/>
    <mergeCell ref="H4:I4"/>
    <mergeCell ref="A1:J1"/>
    <mergeCell ref="A2:B2"/>
    <mergeCell ref="C2:D2"/>
    <mergeCell ref="E2:F2"/>
    <mergeCell ref="G2:H2"/>
    <mergeCell ref="I2:J2"/>
  </mergeCells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workbookViewId="0">
      <selection sqref="A1:M1"/>
    </sheetView>
  </sheetViews>
  <sheetFormatPr defaultColWidth="9" defaultRowHeight="12"/>
  <cols>
    <col min="1" max="1" width="5" customWidth="1"/>
    <col min="2" max="2" width="2.109375" customWidth="1"/>
    <col min="3" max="3" width="6" customWidth="1"/>
    <col min="4" max="4" width="17" customWidth="1"/>
    <col min="5" max="5" width="13.44140625" customWidth="1"/>
    <col min="6" max="6" width="9.6640625" customWidth="1"/>
    <col min="7" max="7" width="1.5546875" customWidth="1"/>
    <col min="8" max="8" width="9.21875" customWidth="1"/>
    <col min="9" max="9" width="5.109375" customWidth="1"/>
    <col min="10" max="10" width="15.77734375" customWidth="1"/>
    <col min="11" max="11" width="3.77734375" customWidth="1"/>
    <col min="12" max="12" width="13.88671875" customWidth="1"/>
    <col min="13" max="13" width="10.109375" customWidth="1"/>
  </cols>
  <sheetData>
    <row r="1" spans="1:13" ht="36" customHeight="1">
      <c r="A1" s="20" t="s">
        <v>717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34" customHeight="1">
      <c r="A2" s="21" t="s">
        <v>700</v>
      </c>
      <c r="B2" s="21"/>
      <c r="C2" s="21"/>
      <c r="D2" s="21" t="s">
        <v>701</v>
      </c>
      <c r="E2" s="21"/>
      <c r="F2" s="21"/>
      <c r="G2" s="21"/>
      <c r="H2" s="1" t="s">
        <v>702</v>
      </c>
      <c r="I2" s="21" t="s">
        <v>53</v>
      </c>
      <c r="J2" s="21"/>
      <c r="K2" s="21"/>
      <c r="L2" s="22" t="s">
        <v>703</v>
      </c>
      <c r="M2" s="22"/>
    </row>
    <row r="3" spans="1:13" ht="23" customHeight="1">
      <c r="A3" s="13" t="s">
        <v>0</v>
      </c>
      <c r="B3" s="13"/>
      <c r="C3" s="13" t="s">
        <v>71</v>
      </c>
      <c r="D3" s="13"/>
      <c r="E3" s="2" t="s">
        <v>718</v>
      </c>
      <c r="F3" s="2" t="s">
        <v>719</v>
      </c>
      <c r="G3" s="13" t="s">
        <v>720</v>
      </c>
      <c r="H3" s="13"/>
      <c r="I3" s="13"/>
      <c r="J3" s="2" t="s">
        <v>721</v>
      </c>
      <c r="K3" s="13" t="s">
        <v>722</v>
      </c>
      <c r="L3" s="13"/>
      <c r="M3" s="2" t="s">
        <v>616</v>
      </c>
    </row>
    <row r="4" spans="1:13" ht="23" customHeight="1">
      <c r="A4" s="17" t="s">
        <v>3</v>
      </c>
      <c r="B4" s="17"/>
      <c r="C4" s="14" t="s">
        <v>723</v>
      </c>
      <c r="D4" s="14"/>
      <c r="E4" s="5" t="s">
        <v>53</v>
      </c>
      <c r="F4" s="6" t="s">
        <v>53</v>
      </c>
      <c r="G4" s="15" t="s">
        <v>53</v>
      </c>
      <c r="H4" s="15"/>
      <c r="I4" s="15"/>
      <c r="J4" s="7" t="s">
        <v>53</v>
      </c>
      <c r="K4" s="23" t="s">
        <v>53</v>
      </c>
      <c r="L4" s="23"/>
      <c r="M4" s="7" t="s">
        <v>53</v>
      </c>
    </row>
    <row r="5" spans="1:13" ht="23" customHeight="1">
      <c r="A5" s="17" t="s">
        <v>42</v>
      </c>
      <c r="B5" s="17"/>
      <c r="C5" s="14" t="s">
        <v>724</v>
      </c>
      <c r="D5" s="14"/>
      <c r="E5" s="5" t="s">
        <v>53</v>
      </c>
      <c r="F5" s="6" t="s">
        <v>53</v>
      </c>
      <c r="G5" s="15" t="s">
        <v>53</v>
      </c>
      <c r="H5" s="15"/>
      <c r="I5" s="15"/>
      <c r="J5" s="7" t="s">
        <v>53</v>
      </c>
      <c r="K5" s="23" t="s">
        <v>53</v>
      </c>
      <c r="L5" s="23"/>
      <c r="M5" s="7" t="s">
        <v>53</v>
      </c>
    </row>
    <row r="6" spans="1:13" ht="23" customHeight="1">
      <c r="A6" s="17" t="s">
        <v>45</v>
      </c>
      <c r="B6" s="17"/>
      <c r="C6" s="14" t="s">
        <v>53</v>
      </c>
      <c r="D6" s="14"/>
      <c r="E6" s="5" t="s">
        <v>53</v>
      </c>
      <c r="F6" s="6" t="s">
        <v>53</v>
      </c>
      <c r="G6" s="15" t="s">
        <v>53</v>
      </c>
      <c r="H6" s="15"/>
      <c r="I6" s="15"/>
      <c r="J6" s="7" t="s">
        <v>53</v>
      </c>
      <c r="K6" s="23" t="s">
        <v>53</v>
      </c>
      <c r="L6" s="23"/>
      <c r="M6" s="7" t="s">
        <v>53</v>
      </c>
    </row>
    <row r="7" spans="1:13" ht="23" customHeight="1">
      <c r="A7" s="17" t="s">
        <v>48</v>
      </c>
      <c r="B7" s="17"/>
      <c r="C7" s="14" t="s">
        <v>725</v>
      </c>
      <c r="D7" s="14"/>
      <c r="E7" s="5" t="s">
        <v>53</v>
      </c>
      <c r="F7" s="6" t="s">
        <v>53</v>
      </c>
      <c r="G7" s="15" t="s">
        <v>53</v>
      </c>
      <c r="H7" s="15"/>
      <c r="I7" s="15"/>
      <c r="J7" s="7" t="s">
        <v>53</v>
      </c>
      <c r="K7" s="23" t="s">
        <v>53</v>
      </c>
      <c r="L7" s="23"/>
      <c r="M7" s="7" t="s">
        <v>53</v>
      </c>
    </row>
    <row r="8" spans="1:13" ht="23" customHeight="1">
      <c r="A8" s="17" t="s">
        <v>51</v>
      </c>
      <c r="B8" s="17"/>
      <c r="C8" s="14" t="s">
        <v>53</v>
      </c>
      <c r="D8" s="14"/>
      <c r="E8" s="5" t="s">
        <v>53</v>
      </c>
      <c r="F8" s="6" t="s">
        <v>53</v>
      </c>
      <c r="G8" s="15" t="s">
        <v>53</v>
      </c>
      <c r="H8" s="15"/>
      <c r="I8" s="15"/>
      <c r="J8" s="7" t="s">
        <v>53</v>
      </c>
      <c r="K8" s="23" t="s">
        <v>53</v>
      </c>
      <c r="L8" s="23"/>
      <c r="M8" s="7" t="s">
        <v>53</v>
      </c>
    </row>
    <row r="9" spans="1:13" ht="23" customHeight="1">
      <c r="A9" s="17" t="s">
        <v>62</v>
      </c>
      <c r="B9" s="17"/>
      <c r="C9" s="14" t="s">
        <v>726</v>
      </c>
      <c r="D9" s="14"/>
      <c r="E9" s="5" t="s">
        <v>53</v>
      </c>
      <c r="F9" s="6" t="s">
        <v>53</v>
      </c>
      <c r="G9" s="15" t="s">
        <v>53</v>
      </c>
      <c r="H9" s="15"/>
      <c r="I9" s="15"/>
      <c r="J9" s="7" t="s">
        <v>53</v>
      </c>
      <c r="K9" s="23" t="s">
        <v>53</v>
      </c>
      <c r="L9" s="23"/>
      <c r="M9" s="7" t="s">
        <v>53</v>
      </c>
    </row>
    <row r="10" spans="1:13" ht="23" customHeight="1">
      <c r="A10" s="17" t="s">
        <v>727</v>
      </c>
      <c r="B10" s="17"/>
      <c r="C10" s="14" t="s">
        <v>53</v>
      </c>
      <c r="D10" s="14"/>
      <c r="E10" s="5" t="s">
        <v>53</v>
      </c>
      <c r="F10" s="6" t="s">
        <v>53</v>
      </c>
      <c r="G10" s="15" t="s">
        <v>53</v>
      </c>
      <c r="H10" s="15"/>
      <c r="I10" s="15"/>
      <c r="J10" s="7" t="s">
        <v>53</v>
      </c>
      <c r="K10" s="23" t="s">
        <v>53</v>
      </c>
      <c r="L10" s="23"/>
      <c r="M10" s="7" t="s">
        <v>53</v>
      </c>
    </row>
    <row r="11" spans="1:13" ht="23" customHeight="1">
      <c r="A11" s="17" t="s">
        <v>728</v>
      </c>
      <c r="B11" s="17"/>
      <c r="C11" s="17"/>
      <c r="D11" s="17"/>
      <c r="E11" s="3" t="s">
        <v>729</v>
      </c>
      <c r="F11" s="3" t="s">
        <v>729</v>
      </c>
      <c r="G11" s="15" t="s">
        <v>53</v>
      </c>
      <c r="H11" s="15"/>
      <c r="I11" s="15"/>
      <c r="J11" s="7" t="s">
        <v>53</v>
      </c>
      <c r="K11" s="23" t="s">
        <v>53</v>
      </c>
      <c r="L11" s="23"/>
      <c r="M11" s="3" t="s">
        <v>729</v>
      </c>
    </row>
    <row r="12" spans="1:13" ht="23" customHeight="1">
      <c r="A12" s="17" t="s">
        <v>613</v>
      </c>
      <c r="B12" s="17"/>
      <c r="C12" s="17"/>
      <c r="D12" s="17"/>
      <c r="E12" s="3" t="s">
        <v>729</v>
      </c>
      <c r="F12" s="8" t="s">
        <v>729</v>
      </c>
      <c r="G12" s="15" t="s">
        <v>53</v>
      </c>
      <c r="H12" s="15"/>
      <c r="I12" s="15"/>
      <c r="J12" s="7" t="s">
        <v>53</v>
      </c>
      <c r="K12" s="23" t="s">
        <v>53</v>
      </c>
      <c r="L12" s="23"/>
      <c r="M12" s="3" t="s">
        <v>729</v>
      </c>
    </row>
    <row r="13" spans="1:13" ht="61" customHeight="1">
      <c r="A13" s="9" t="s">
        <v>730</v>
      </c>
      <c r="B13" s="24" t="s">
        <v>731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</sheetData>
  <mergeCells count="44">
    <mergeCell ref="B13:M13"/>
    <mergeCell ref="A11:D11"/>
    <mergeCell ref="G11:I11"/>
    <mergeCell ref="K11:L11"/>
    <mergeCell ref="A12:D12"/>
    <mergeCell ref="G12:I12"/>
    <mergeCell ref="K12:L12"/>
    <mergeCell ref="A9:B9"/>
    <mergeCell ref="C9:D9"/>
    <mergeCell ref="G9:I9"/>
    <mergeCell ref="K9:L9"/>
    <mergeCell ref="A10:B10"/>
    <mergeCell ref="C10:D10"/>
    <mergeCell ref="G10:I10"/>
    <mergeCell ref="K10:L10"/>
    <mergeCell ref="A7:B7"/>
    <mergeCell ref="C7:D7"/>
    <mergeCell ref="G7:I7"/>
    <mergeCell ref="K7:L7"/>
    <mergeCell ref="A8:B8"/>
    <mergeCell ref="C8:D8"/>
    <mergeCell ref="G8:I8"/>
    <mergeCell ref="K8:L8"/>
    <mergeCell ref="A5:B5"/>
    <mergeCell ref="C5:D5"/>
    <mergeCell ref="G5:I5"/>
    <mergeCell ref="K5:L5"/>
    <mergeCell ref="A6:B6"/>
    <mergeCell ref="C6:D6"/>
    <mergeCell ref="G6:I6"/>
    <mergeCell ref="K6:L6"/>
    <mergeCell ref="A3:B3"/>
    <mergeCell ref="C3:D3"/>
    <mergeCell ref="G3:I3"/>
    <mergeCell ref="K3:L3"/>
    <mergeCell ref="A4:B4"/>
    <mergeCell ref="C4:D4"/>
    <mergeCell ref="G4:I4"/>
    <mergeCell ref="K4:L4"/>
    <mergeCell ref="A1:M1"/>
    <mergeCell ref="A2:C2"/>
    <mergeCell ref="D2:G2"/>
    <mergeCell ref="I2:K2"/>
    <mergeCell ref="L2:M2"/>
  </mergeCells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1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selection sqref="A1:J1"/>
    </sheetView>
  </sheetViews>
  <sheetFormatPr defaultColWidth="9" defaultRowHeight="12"/>
  <cols>
    <col min="1" max="1" width="7.5546875" customWidth="1"/>
    <col min="2" max="2" width="4.21875" customWidth="1"/>
    <col min="3" max="3" width="16.88671875" customWidth="1"/>
    <col min="4" max="4" width="23.44140625" customWidth="1"/>
    <col min="5" max="5" width="8" customWidth="1"/>
    <col min="6" max="6" width="0.77734375" customWidth="1"/>
    <col min="7" max="7" width="17.33203125" customWidth="1"/>
    <col min="8" max="8" width="6.21875" customWidth="1"/>
    <col min="9" max="9" width="4.6640625" customWidth="1"/>
    <col min="10" max="10" width="18.5546875" customWidth="1"/>
  </cols>
  <sheetData>
    <row r="1" spans="1:10" ht="36" customHeight="1">
      <c r="A1" s="20" t="s">
        <v>732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4" customHeight="1">
      <c r="A2" s="21" t="s">
        <v>700</v>
      </c>
      <c r="B2" s="21"/>
      <c r="C2" s="21" t="s">
        <v>701</v>
      </c>
      <c r="D2" s="21"/>
      <c r="E2" s="22" t="s">
        <v>702</v>
      </c>
      <c r="F2" s="22"/>
      <c r="G2" s="25" t="s">
        <v>53</v>
      </c>
      <c r="H2" s="25"/>
      <c r="I2" s="22" t="s">
        <v>703</v>
      </c>
      <c r="J2" s="22"/>
    </row>
    <row r="3" spans="1:10" ht="23" customHeight="1">
      <c r="A3" s="2" t="s">
        <v>0</v>
      </c>
      <c r="B3" s="13" t="s">
        <v>71</v>
      </c>
      <c r="C3" s="13"/>
      <c r="D3" s="13" t="s">
        <v>733</v>
      </c>
      <c r="E3" s="13"/>
      <c r="F3" s="13" t="s">
        <v>718</v>
      </c>
      <c r="G3" s="13"/>
      <c r="H3" s="13" t="s">
        <v>734</v>
      </c>
      <c r="I3" s="13"/>
      <c r="J3" s="2" t="s">
        <v>2</v>
      </c>
    </row>
    <row r="4" spans="1:10" ht="23" customHeight="1">
      <c r="A4" s="3" t="s">
        <v>3</v>
      </c>
      <c r="B4" s="14" t="s">
        <v>66</v>
      </c>
      <c r="C4" s="14"/>
      <c r="D4" s="26" t="s">
        <v>735</v>
      </c>
      <c r="E4" s="26"/>
      <c r="F4" s="18" t="s">
        <v>736</v>
      </c>
      <c r="G4" s="18"/>
      <c r="H4" s="15" t="s">
        <v>737</v>
      </c>
      <c r="I4" s="15"/>
      <c r="J4" s="6" t="s">
        <v>67</v>
      </c>
    </row>
    <row r="5" spans="1:10" ht="23" customHeight="1">
      <c r="A5" s="17" t="s">
        <v>68</v>
      </c>
      <c r="B5" s="17"/>
      <c r="C5" s="17"/>
      <c r="D5" s="17"/>
      <c r="E5" s="17"/>
      <c r="F5" s="17"/>
      <c r="G5" s="17"/>
      <c r="H5" s="17"/>
      <c r="I5" s="17"/>
      <c r="J5" s="6" t="s">
        <v>67</v>
      </c>
    </row>
  </sheetData>
  <mergeCells count="15">
    <mergeCell ref="A5:I5"/>
    <mergeCell ref="B3:C3"/>
    <mergeCell ref="D3:E3"/>
    <mergeCell ref="F3:G3"/>
    <mergeCell ref="H3:I3"/>
    <mergeCell ref="B4:C4"/>
    <mergeCell ref="D4:E4"/>
    <mergeCell ref="F4:G4"/>
    <mergeCell ref="H4:I4"/>
    <mergeCell ref="A1:J1"/>
    <mergeCell ref="A2:B2"/>
    <mergeCell ref="C2:D2"/>
    <mergeCell ref="E2:F2"/>
    <mergeCell ref="G2:H2"/>
    <mergeCell ref="I2:J2"/>
  </mergeCells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66D4-D9DB-4096-B3AE-F41561B3C0EE}">
  <dimension ref="A1:H437"/>
  <sheetViews>
    <sheetView tabSelected="1" topLeftCell="C438" workbookViewId="0">
      <selection activeCell="C117" sqref="C117"/>
    </sheetView>
  </sheetViews>
  <sheetFormatPr defaultRowHeight="12"/>
  <cols>
    <col min="2" max="2" width="12" bestFit="1" customWidth="1"/>
    <col min="3" max="3" width="108.6640625" bestFit="1" customWidth="1"/>
    <col min="4" max="4" width="69.109375" style="29" customWidth="1"/>
    <col min="5" max="5" width="11.88671875" customWidth="1"/>
    <col min="6" max="6" width="9.77734375" customWidth="1"/>
    <col min="7" max="7" width="11.88671875" customWidth="1"/>
    <col min="8" max="8" width="13.33203125" bestFit="1" customWidth="1"/>
  </cols>
  <sheetData>
    <row r="1" spans="1:8">
      <c r="A1" t="s">
        <v>0</v>
      </c>
      <c r="B1" t="s">
        <v>70</v>
      </c>
      <c r="C1" t="s">
        <v>71</v>
      </c>
      <c r="D1" s="29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ht="48" hidden="1">
      <c r="A2">
        <v>1</v>
      </c>
      <c r="B2">
        <v>10102001001</v>
      </c>
      <c r="C2" t="s">
        <v>77</v>
      </c>
      <c r="D2" s="29" t="s">
        <v>78</v>
      </c>
      <c r="E2" t="s">
        <v>79</v>
      </c>
      <c r="F2">
        <v>9650.2999999999993</v>
      </c>
      <c r="G2">
        <v>7.78</v>
      </c>
      <c r="H2">
        <v>75079.33</v>
      </c>
    </row>
    <row r="3" spans="1:8" ht="48" hidden="1">
      <c r="A3">
        <v>2</v>
      </c>
      <c r="B3">
        <v>10102001002</v>
      </c>
      <c r="C3" t="s">
        <v>80</v>
      </c>
      <c r="D3" s="29" t="s">
        <v>78</v>
      </c>
      <c r="E3" t="s">
        <v>79</v>
      </c>
      <c r="F3">
        <v>9650.2999999999993</v>
      </c>
      <c r="G3">
        <v>8.98</v>
      </c>
      <c r="H3">
        <v>86659.69</v>
      </c>
    </row>
    <row r="4" spans="1:8" ht="48" hidden="1">
      <c r="A4">
        <v>3</v>
      </c>
      <c r="B4">
        <v>10102001003</v>
      </c>
      <c r="C4" t="s">
        <v>81</v>
      </c>
      <c r="D4" s="29" t="s">
        <v>78</v>
      </c>
      <c r="E4" t="s">
        <v>79</v>
      </c>
      <c r="F4">
        <v>16825.09</v>
      </c>
      <c r="G4">
        <v>7.68</v>
      </c>
      <c r="H4">
        <v>129216.69</v>
      </c>
    </row>
    <row r="5" spans="1:8" ht="60" hidden="1">
      <c r="A5">
        <v>4</v>
      </c>
      <c r="B5">
        <v>10102007001</v>
      </c>
      <c r="C5" t="s">
        <v>82</v>
      </c>
      <c r="D5" s="29" t="s">
        <v>83</v>
      </c>
      <c r="E5" t="s">
        <v>79</v>
      </c>
      <c r="F5">
        <v>38411.980000000003</v>
      </c>
      <c r="G5">
        <v>14.69</v>
      </c>
      <c r="H5">
        <v>564271.99</v>
      </c>
    </row>
    <row r="6" spans="1:8" hidden="1">
      <c r="A6">
        <v>5</v>
      </c>
      <c r="B6">
        <v>40103002003</v>
      </c>
      <c r="C6" t="s">
        <v>84</v>
      </c>
      <c r="D6" s="29" t="s">
        <v>85</v>
      </c>
      <c r="E6" t="s">
        <v>79</v>
      </c>
      <c r="F6">
        <v>5464.12</v>
      </c>
      <c r="G6">
        <v>27.55</v>
      </c>
      <c r="H6">
        <v>150536.51</v>
      </c>
    </row>
    <row r="7" spans="1:8" ht="72" hidden="1">
      <c r="A7">
        <v>6</v>
      </c>
      <c r="B7">
        <v>10402001001</v>
      </c>
      <c r="C7" t="s">
        <v>86</v>
      </c>
      <c r="D7" s="29" t="s">
        <v>87</v>
      </c>
      <c r="E7" t="s">
        <v>79</v>
      </c>
      <c r="F7">
        <v>70.989999999999995</v>
      </c>
      <c r="G7">
        <v>496.43</v>
      </c>
      <c r="H7">
        <v>35241.57</v>
      </c>
    </row>
    <row r="8" spans="1:8" ht="72" hidden="1">
      <c r="A8">
        <v>7</v>
      </c>
      <c r="B8">
        <v>10402001002</v>
      </c>
      <c r="C8" t="s">
        <v>86</v>
      </c>
      <c r="D8" s="29" t="s">
        <v>88</v>
      </c>
      <c r="E8" t="s">
        <v>79</v>
      </c>
      <c r="F8">
        <v>1111.6300000000001</v>
      </c>
      <c r="G8">
        <v>436.46</v>
      </c>
      <c r="H8">
        <v>485182.03</v>
      </c>
    </row>
    <row r="9" spans="1:8" ht="72" hidden="1">
      <c r="A9">
        <v>8</v>
      </c>
      <c r="B9">
        <v>10402001003</v>
      </c>
      <c r="C9" t="s">
        <v>86</v>
      </c>
      <c r="D9" s="29" t="s">
        <v>89</v>
      </c>
      <c r="E9" t="s">
        <v>79</v>
      </c>
      <c r="F9">
        <v>2.09</v>
      </c>
      <c r="G9">
        <v>459.18</v>
      </c>
      <c r="H9">
        <v>959.69</v>
      </c>
    </row>
    <row r="10" spans="1:8" ht="72" hidden="1">
      <c r="A10">
        <v>9</v>
      </c>
      <c r="B10">
        <v>10401002001</v>
      </c>
      <c r="C10" t="s">
        <v>90</v>
      </c>
      <c r="D10" s="29" t="s">
        <v>91</v>
      </c>
      <c r="E10" t="s">
        <v>79</v>
      </c>
      <c r="F10">
        <v>240.86</v>
      </c>
      <c r="G10">
        <v>557.88</v>
      </c>
      <c r="H10">
        <v>134370.98000000001</v>
      </c>
    </row>
    <row r="11" spans="1:8" ht="60" hidden="1">
      <c r="A11">
        <v>10</v>
      </c>
      <c r="B11">
        <v>10404001001</v>
      </c>
      <c r="C11" t="s">
        <v>92</v>
      </c>
      <c r="D11" s="29" t="s">
        <v>93</v>
      </c>
      <c r="E11" t="s">
        <v>94</v>
      </c>
      <c r="F11">
        <v>2625.52</v>
      </c>
      <c r="G11">
        <v>176.83</v>
      </c>
      <c r="H11">
        <v>464270.7</v>
      </c>
    </row>
    <row r="12" spans="1:8" ht="36" hidden="1">
      <c r="A12">
        <v>11</v>
      </c>
      <c r="B12">
        <v>10501001001</v>
      </c>
      <c r="C12" t="s">
        <v>96</v>
      </c>
      <c r="D12" s="29" t="s">
        <v>97</v>
      </c>
      <c r="E12" t="s">
        <v>79</v>
      </c>
      <c r="F12">
        <v>507.34</v>
      </c>
      <c r="G12">
        <v>400.81</v>
      </c>
      <c r="H12">
        <v>203346.95</v>
      </c>
    </row>
    <row r="13" spans="1:8" ht="48" hidden="1">
      <c r="A13">
        <v>12</v>
      </c>
      <c r="B13">
        <v>10502001001</v>
      </c>
      <c r="C13" t="s">
        <v>98</v>
      </c>
      <c r="D13" s="29" t="s">
        <v>99</v>
      </c>
      <c r="E13" t="s">
        <v>79</v>
      </c>
      <c r="F13">
        <v>2665.05</v>
      </c>
      <c r="G13">
        <v>464.29</v>
      </c>
      <c r="H13">
        <v>1237356.06</v>
      </c>
    </row>
    <row r="14" spans="1:8" ht="60" hidden="1">
      <c r="A14">
        <v>13</v>
      </c>
      <c r="B14">
        <v>10502006001</v>
      </c>
      <c r="C14" t="s">
        <v>100</v>
      </c>
      <c r="D14" s="29" t="s">
        <v>101</v>
      </c>
      <c r="E14" t="s">
        <v>79</v>
      </c>
      <c r="F14">
        <v>344.34</v>
      </c>
      <c r="G14">
        <v>615.02</v>
      </c>
      <c r="H14">
        <v>211775.99</v>
      </c>
    </row>
    <row r="15" spans="1:8" ht="60" hidden="1">
      <c r="A15">
        <v>14</v>
      </c>
      <c r="B15">
        <v>10502006002</v>
      </c>
      <c r="C15" t="s">
        <v>102</v>
      </c>
      <c r="D15" s="29" t="s">
        <v>103</v>
      </c>
      <c r="E15" t="s">
        <v>79</v>
      </c>
      <c r="F15">
        <v>33.72</v>
      </c>
      <c r="G15">
        <v>581.75</v>
      </c>
      <c r="H15">
        <v>19616.61</v>
      </c>
    </row>
    <row r="16" spans="1:8" ht="48" hidden="1">
      <c r="A16">
        <v>15</v>
      </c>
      <c r="B16">
        <v>10502001002</v>
      </c>
      <c r="C16" t="s">
        <v>104</v>
      </c>
      <c r="D16" s="29" t="s">
        <v>105</v>
      </c>
      <c r="E16" t="s">
        <v>79</v>
      </c>
      <c r="F16">
        <v>1.35</v>
      </c>
      <c r="G16">
        <v>490.76</v>
      </c>
      <c r="H16">
        <v>662.53</v>
      </c>
    </row>
    <row r="17" spans="1:8" ht="60" hidden="1">
      <c r="A17">
        <v>16</v>
      </c>
      <c r="B17">
        <v>10502010001</v>
      </c>
      <c r="C17" t="s">
        <v>106</v>
      </c>
      <c r="D17" s="29" t="s">
        <v>103</v>
      </c>
      <c r="E17" t="s">
        <v>79</v>
      </c>
      <c r="F17">
        <v>157.1</v>
      </c>
      <c r="G17">
        <v>505.37</v>
      </c>
      <c r="H17">
        <v>79393.63</v>
      </c>
    </row>
    <row r="18" spans="1:8" ht="48" hidden="1">
      <c r="A18">
        <v>17</v>
      </c>
      <c r="B18">
        <v>10502003001</v>
      </c>
      <c r="C18" t="s">
        <v>107</v>
      </c>
      <c r="D18" s="29" t="s">
        <v>105</v>
      </c>
      <c r="E18" t="s">
        <v>79</v>
      </c>
      <c r="F18">
        <v>274.02</v>
      </c>
      <c r="G18">
        <v>458.11</v>
      </c>
      <c r="H18">
        <v>125531.3</v>
      </c>
    </row>
    <row r="19" spans="1:8" ht="48" hidden="1">
      <c r="A19">
        <v>18</v>
      </c>
      <c r="B19">
        <v>10502005001</v>
      </c>
      <c r="C19" t="s">
        <v>108</v>
      </c>
      <c r="D19" s="29" t="s">
        <v>105</v>
      </c>
      <c r="E19" t="s">
        <v>79</v>
      </c>
      <c r="F19">
        <v>1232.83</v>
      </c>
      <c r="G19">
        <v>450.14</v>
      </c>
      <c r="H19">
        <v>554946.1</v>
      </c>
    </row>
    <row r="20" spans="1:8" ht="48" hidden="1">
      <c r="A20">
        <v>19</v>
      </c>
      <c r="B20">
        <v>10502033001</v>
      </c>
      <c r="C20" t="s">
        <v>109</v>
      </c>
      <c r="D20" s="29" t="s">
        <v>110</v>
      </c>
      <c r="E20" t="s">
        <v>79</v>
      </c>
      <c r="F20">
        <v>10.37</v>
      </c>
      <c r="G20">
        <v>543.16999999999996</v>
      </c>
      <c r="H20">
        <v>5632.67</v>
      </c>
    </row>
    <row r="21" spans="1:8" ht="60" hidden="1">
      <c r="A21">
        <v>20</v>
      </c>
      <c r="B21">
        <v>10502006003</v>
      </c>
      <c r="C21" t="s">
        <v>100</v>
      </c>
      <c r="D21" s="29" t="s">
        <v>101</v>
      </c>
      <c r="E21" t="s">
        <v>79</v>
      </c>
      <c r="F21">
        <v>2002.44</v>
      </c>
      <c r="G21">
        <v>615.02</v>
      </c>
      <c r="H21">
        <v>1231540.6499999999</v>
      </c>
    </row>
    <row r="22" spans="1:8" ht="60" hidden="1">
      <c r="A22">
        <v>21</v>
      </c>
      <c r="B22">
        <v>10502006004</v>
      </c>
      <c r="C22" t="s">
        <v>112</v>
      </c>
      <c r="D22" s="29" t="s">
        <v>113</v>
      </c>
      <c r="E22" t="s">
        <v>79</v>
      </c>
      <c r="F22">
        <v>1851.05</v>
      </c>
      <c r="G22">
        <v>595.05999999999995</v>
      </c>
      <c r="H22">
        <v>1101485.81</v>
      </c>
    </row>
    <row r="23" spans="1:8" ht="60" hidden="1">
      <c r="A23">
        <v>22</v>
      </c>
      <c r="B23">
        <v>10502006005</v>
      </c>
      <c r="C23" t="s">
        <v>114</v>
      </c>
      <c r="D23" s="29" t="s">
        <v>103</v>
      </c>
      <c r="E23" t="s">
        <v>79</v>
      </c>
      <c r="F23">
        <v>756.75</v>
      </c>
      <c r="G23">
        <v>581.75</v>
      </c>
      <c r="H23">
        <v>440239.31</v>
      </c>
    </row>
    <row r="24" spans="1:8" ht="60" hidden="1">
      <c r="A24">
        <v>23</v>
      </c>
      <c r="B24">
        <v>10502006006</v>
      </c>
      <c r="C24" t="s">
        <v>102</v>
      </c>
      <c r="D24" s="29" t="s">
        <v>103</v>
      </c>
      <c r="E24" t="s">
        <v>79</v>
      </c>
      <c r="F24">
        <v>411.83</v>
      </c>
      <c r="G24">
        <v>581.75</v>
      </c>
      <c r="H24">
        <v>239582.1</v>
      </c>
    </row>
    <row r="25" spans="1:8" ht="60" hidden="1">
      <c r="A25">
        <v>24</v>
      </c>
      <c r="B25">
        <v>10502010002</v>
      </c>
      <c r="C25" t="s">
        <v>106</v>
      </c>
      <c r="D25" s="29" t="s">
        <v>103</v>
      </c>
      <c r="E25" t="s">
        <v>79</v>
      </c>
      <c r="F25">
        <v>209.24</v>
      </c>
      <c r="G25">
        <v>505.37</v>
      </c>
      <c r="H25">
        <v>105743.62</v>
      </c>
    </row>
    <row r="26" spans="1:8" ht="60" hidden="1">
      <c r="A26">
        <v>25</v>
      </c>
      <c r="B26">
        <v>10502011001</v>
      </c>
      <c r="C26" t="s">
        <v>115</v>
      </c>
      <c r="D26" s="29" t="s">
        <v>116</v>
      </c>
      <c r="E26" t="s">
        <v>79</v>
      </c>
      <c r="F26">
        <v>6818.06</v>
      </c>
      <c r="G26">
        <v>468.51</v>
      </c>
      <c r="H26">
        <v>3194329.29</v>
      </c>
    </row>
    <row r="27" spans="1:8" ht="60" hidden="1">
      <c r="A27">
        <v>26</v>
      </c>
      <c r="B27">
        <v>10502011002</v>
      </c>
      <c r="C27" t="s">
        <v>117</v>
      </c>
      <c r="D27" s="29" t="s">
        <v>103</v>
      </c>
      <c r="E27" t="s">
        <v>79</v>
      </c>
      <c r="F27">
        <v>6671.21</v>
      </c>
      <c r="G27">
        <v>478.38</v>
      </c>
      <c r="H27">
        <v>3191373.44</v>
      </c>
    </row>
    <row r="28" spans="1:8" ht="60" hidden="1">
      <c r="A28">
        <v>27</v>
      </c>
      <c r="B28">
        <v>10502013001</v>
      </c>
      <c r="C28" t="s">
        <v>118</v>
      </c>
      <c r="D28" s="29" t="s">
        <v>116</v>
      </c>
      <c r="E28" t="s">
        <v>79</v>
      </c>
      <c r="F28">
        <v>2708.52</v>
      </c>
      <c r="G28">
        <v>468.27</v>
      </c>
      <c r="H28">
        <v>1268318.6599999999</v>
      </c>
    </row>
    <row r="29" spans="1:8" ht="60" hidden="1">
      <c r="A29">
        <v>28</v>
      </c>
      <c r="B29">
        <v>10502013002</v>
      </c>
      <c r="C29" t="s">
        <v>119</v>
      </c>
      <c r="D29" s="29" t="s">
        <v>103</v>
      </c>
      <c r="E29" t="s">
        <v>79</v>
      </c>
      <c r="F29">
        <v>2496.6799999999998</v>
      </c>
      <c r="G29">
        <v>478.15</v>
      </c>
      <c r="H29">
        <v>1193787.54</v>
      </c>
    </row>
    <row r="30" spans="1:8" ht="48" hidden="1">
      <c r="A30">
        <v>29</v>
      </c>
      <c r="B30">
        <v>10502013003</v>
      </c>
      <c r="C30" t="s">
        <v>120</v>
      </c>
      <c r="D30" s="29" t="s">
        <v>121</v>
      </c>
      <c r="E30" t="s">
        <v>79</v>
      </c>
      <c r="F30">
        <v>1</v>
      </c>
      <c r="G30">
        <v>592.77</v>
      </c>
      <c r="H30">
        <v>592.77</v>
      </c>
    </row>
    <row r="31" spans="1:8" ht="60" hidden="1">
      <c r="A31">
        <v>30</v>
      </c>
      <c r="B31">
        <v>10502018001</v>
      </c>
      <c r="C31" t="s">
        <v>122</v>
      </c>
      <c r="D31" s="29" t="s">
        <v>116</v>
      </c>
      <c r="E31" t="s">
        <v>79</v>
      </c>
      <c r="F31">
        <v>559.04999999999995</v>
      </c>
      <c r="G31">
        <v>478.67</v>
      </c>
      <c r="H31">
        <v>267600.46000000002</v>
      </c>
    </row>
    <row r="32" spans="1:8" ht="60" hidden="1">
      <c r="A32">
        <v>31</v>
      </c>
      <c r="B32">
        <v>10502018002</v>
      </c>
      <c r="C32" t="s">
        <v>123</v>
      </c>
      <c r="D32" s="29" t="s">
        <v>103</v>
      </c>
      <c r="E32" t="s">
        <v>79</v>
      </c>
      <c r="F32">
        <v>160.99</v>
      </c>
      <c r="G32">
        <v>488.55</v>
      </c>
      <c r="H32">
        <v>78651.66</v>
      </c>
    </row>
    <row r="33" spans="1:8" ht="48" hidden="1">
      <c r="A33">
        <v>32</v>
      </c>
      <c r="B33">
        <v>10502018003</v>
      </c>
      <c r="C33" t="s">
        <v>124</v>
      </c>
      <c r="D33" s="29" t="s">
        <v>121</v>
      </c>
      <c r="E33" t="s">
        <v>79</v>
      </c>
      <c r="F33">
        <v>1</v>
      </c>
      <c r="G33">
        <v>592.1</v>
      </c>
      <c r="H33">
        <v>592.1</v>
      </c>
    </row>
    <row r="34" spans="1:8" ht="48" hidden="1">
      <c r="A34">
        <v>33</v>
      </c>
      <c r="B34">
        <v>10502019001</v>
      </c>
      <c r="C34" t="s">
        <v>125</v>
      </c>
      <c r="D34" s="29" t="s">
        <v>121</v>
      </c>
      <c r="E34" t="s">
        <v>79</v>
      </c>
      <c r="F34">
        <v>1</v>
      </c>
      <c r="G34">
        <v>686.15</v>
      </c>
      <c r="H34">
        <v>686.15</v>
      </c>
    </row>
    <row r="35" spans="1:8" ht="60" hidden="1">
      <c r="A35">
        <v>34</v>
      </c>
      <c r="B35">
        <v>10502020001</v>
      </c>
      <c r="C35" t="s">
        <v>126</v>
      </c>
      <c r="D35" s="29" t="s">
        <v>116</v>
      </c>
      <c r="E35" t="s">
        <v>79</v>
      </c>
      <c r="F35">
        <v>103.11</v>
      </c>
      <c r="G35">
        <v>525.94000000000005</v>
      </c>
      <c r="H35">
        <v>54229.67</v>
      </c>
    </row>
    <row r="36" spans="1:8" ht="60" hidden="1">
      <c r="A36">
        <v>35</v>
      </c>
      <c r="B36">
        <v>10502020002</v>
      </c>
      <c r="C36" t="s">
        <v>127</v>
      </c>
      <c r="D36" s="29" t="s">
        <v>103</v>
      </c>
      <c r="E36" t="s">
        <v>79</v>
      </c>
      <c r="F36">
        <v>119.69</v>
      </c>
      <c r="G36">
        <v>535.82000000000005</v>
      </c>
      <c r="H36">
        <v>64132.3</v>
      </c>
    </row>
    <row r="37" spans="1:8" ht="48" hidden="1">
      <c r="A37">
        <v>36</v>
      </c>
      <c r="B37">
        <v>10502021001</v>
      </c>
      <c r="C37" t="s">
        <v>128</v>
      </c>
      <c r="D37" s="29" t="s">
        <v>121</v>
      </c>
      <c r="E37" t="s">
        <v>79</v>
      </c>
      <c r="F37">
        <v>112.79</v>
      </c>
      <c r="G37">
        <v>615.16</v>
      </c>
      <c r="H37">
        <v>69383.899999999994</v>
      </c>
    </row>
    <row r="38" spans="1:8" ht="48" hidden="1">
      <c r="A38">
        <v>37</v>
      </c>
      <c r="B38">
        <v>10502022001</v>
      </c>
      <c r="C38" t="s">
        <v>129</v>
      </c>
      <c r="D38" s="29" t="s">
        <v>121</v>
      </c>
      <c r="E38" t="s">
        <v>79</v>
      </c>
      <c r="F38">
        <v>50.28</v>
      </c>
      <c r="G38">
        <v>514.92999999999995</v>
      </c>
      <c r="H38">
        <v>25890.68</v>
      </c>
    </row>
    <row r="39" spans="1:8" ht="60" hidden="1">
      <c r="A39">
        <v>38</v>
      </c>
      <c r="B39">
        <v>10502024001</v>
      </c>
      <c r="C39" t="s">
        <v>130</v>
      </c>
      <c r="D39" s="29" t="s">
        <v>116</v>
      </c>
      <c r="E39" t="s">
        <v>79</v>
      </c>
      <c r="F39">
        <v>86.078000000000003</v>
      </c>
      <c r="G39">
        <v>475.54</v>
      </c>
      <c r="H39">
        <v>40933.53</v>
      </c>
    </row>
    <row r="40" spans="1:8" ht="48" hidden="1">
      <c r="A40">
        <v>39</v>
      </c>
      <c r="B40">
        <v>10502033002</v>
      </c>
      <c r="C40" t="s">
        <v>131</v>
      </c>
      <c r="D40" s="29" t="s">
        <v>132</v>
      </c>
      <c r="E40" t="s">
        <v>79</v>
      </c>
      <c r="F40">
        <v>58.25</v>
      </c>
      <c r="G40">
        <v>555.41999999999996</v>
      </c>
      <c r="H40">
        <v>32353.22</v>
      </c>
    </row>
    <row r="41" spans="1:8" ht="48" hidden="1">
      <c r="A41">
        <v>40</v>
      </c>
      <c r="B41">
        <v>10502033003</v>
      </c>
      <c r="C41" t="s">
        <v>133</v>
      </c>
      <c r="D41" s="29" t="s">
        <v>134</v>
      </c>
      <c r="E41" t="s">
        <v>79</v>
      </c>
      <c r="F41">
        <v>69.59</v>
      </c>
      <c r="G41">
        <v>568.66</v>
      </c>
      <c r="H41">
        <v>39573.050000000003</v>
      </c>
    </row>
    <row r="42" spans="1:8" ht="48" hidden="1">
      <c r="A42">
        <v>41</v>
      </c>
      <c r="B42">
        <v>10502033004</v>
      </c>
      <c r="C42" t="s">
        <v>135</v>
      </c>
      <c r="D42" s="29" t="s">
        <v>132</v>
      </c>
      <c r="E42" t="s">
        <v>79</v>
      </c>
      <c r="F42">
        <v>46.07</v>
      </c>
      <c r="G42">
        <v>542.34</v>
      </c>
      <c r="H42">
        <v>24985.599999999999</v>
      </c>
    </row>
    <row r="43" spans="1:8" ht="48" hidden="1">
      <c r="A43">
        <v>42</v>
      </c>
      <c r="B43">
        <v>10502033005</v>
      </c>
      <c r="C43" t="s">
        <v>136</v>
      </c>
      <c r="D43" s="29" t="s">
        <v>134</v>
      </c>
      <c r="E43" t="s">
        <v>79</v>
      </c>
      <c r="F43">
        <v>45.54</v>
      </c>
      <c r="G43">
        <v>555.58000000000004</v>
      </c>
      <c r="H43">
        <v>25301.11</v>
      </c>
    </row>
    <row r="44" spans="1:8" ht="24" hidden="1">
      <c r="A44">
        <v>43</v>
      </c>
      <c r="B44">
        <v>10505002001</v>
      </c>
      <c r="C44" t="s">
        <v>137</v>
      </c>
      <c r="D44" s="29" t="s">
        <v>138</v>
      </c>
      <c r="E44" t="s">
        <v>94</v>
      </c>
      <c r="F44">
        <v>3710.99</v>
      </c>
      <c r="G44">
        <v>48.15</v>
      </c>
      <c r="H44">
        <v>178684.17</v>
      </c>
    </row>
    <row r="45" spans="1:8" ht="24" hidden="1">
      <c r="A45">
        <v>44</v>
      </c>
      <c r="B45">
        <v>10505003001</v>
      </c>
      <c r="C45" t="s">
        <v>139</v>
      </c>
      <c r="D45" s="29" t="s">
        <v>140</v>
      </c>
      <c r="E45" t="s">
        <v>94</v>
      </c>
      <c r="F45">
        <v>7573.89</v>
      </c>
      <c r="G45">
        <v>56.08</v>
      </c>
      <c r="H45">
        <v>424743.75</v>
      </c>
    </row>
    <row r="46" spans="1:8" ht="24" hidden="1">
      <c r="A46">
        <v>45</v>
      </c>
      <c r="B46">
        <v>10505001001</v>
      </c>
      <c r="C46" t="s">
        <v>141</v>
      </c>
      <c r="D46" s="29" t="s">
        <v>142</v>
      </c>
      <c r="E46" t="s">
        <v>94</v>
      </c>
      <c r="F46">
        <v>1023.17</v>
      </c>
      <c r="G46">
        <v>28.13</v>
      </c>
      <c r="H46">
        <v>28781.77</v>
      </c>
    </row>
    <row r="47" spans="1:8" ht="24" hidden="1">
      <c r="A47">
        <v>46</v>
      </c>
      <c r="B47">
        <v>10505002002</v>
      </c>
      <c r="C47" t="s">
        <v>137</v>
      </c>
      <c r="D47" s="29" t="s">
        <v>143</v>
      </c>
      <c r="E47" t="s">
        <v>94</v>
      </c>
      <c r="F47">
        <v>168.87</v>
      </c>
      <c r="G47">
        <v>45.26</v>
      </c>
      <c r="H47">
        <v>7643.06</v>
      </c>
    </row>
    <row r="48" spans="1:8" ht="24" hidden="1">
      <c r="A48">
        <v>47</v>
      </c>
      <c r="B48">
        <v>10505004001</v>
      </c>
      <c r="C48" t="s">
        <v>144</v>
      </c>
      <c r="D48" s="29" t="s">
        <v>145</v>
      </c>
      <c r="E48" t="s">
        <v>94</v>
      </c>
      <c r="F48">
        <v>1259.54</v>
      </c>
      <c r="G48">
        <v>59.59</v>
      </c>
      <c r="H48">
        <v>75055.990000000005</v>
      </c>
    </row>
    <row r="49" spans="1:8" ht="24" hidden="1">
      <c r="A49">
        <v>48</v>
      </c>
      <c r="B49">
        <v>10505004002</v>
      </c>
      <c r="C49" t="s">
        <v>144</v>
      </c>
      <c r="D49" s="29" t="s">
        <v>146</v>
      </c>
      <c r="E49" t="s">
        <v>94</v>
      </c>
      <c r="F49">
        <v>136.47999999999999</v>
      </c>
      <c r="G49">
        <v>117.23</v>
      </c>
      <c r="H49">
        <v>15999.55</v>
      </c>
    </row>
    <row r="50" spans="1:8" ht="24" hidden="1">
      <c r="A50">
        <v>49</v>
      </c>
      <c r="B50">
        <v>10505008001</v>
      </c>
      <c r="C50" t="s">
        <v>147</v>
      </c>
      <c r="D50" s="29" t="s">
        <v>148</v>
      </c>
      <c r="E50" t="s">
        <v>94</v>
      </c>
      <c r="F50">
        <v>2195.0700000000002</v>
      </c>
      <c r="G50">
        <v>59.17</v>
      </c>
      <c r="H50">
        <v>129882.29</v>
      </c>
    </row>
    <row r="51" spans="1:8" ht="24" hidden="1">
      <c r="A51">
        <v>50</v>
      </c>
      <c r="B51">
        <v>10505005001</v>
      </c>
      <c r="C51" t="s">
        <v>149</v>
      </c>
      <c r="D51" s="29" t="s">
        <v>150</v>
      </c>
      <c r="E51" t="s">
        <v>94</v>
      </c>
      <c r="F51">
        <v>822.76</v>
      </c>
      <c r="G51">
        <v>48.23</v>
      </c>
      <c r="H51">
        <v>39681.71</v>
      </c>
    </row>
    <row r="52" spans="1:8" ht="24" hidden="1">
      <c r="A52">
        <v>51</v>
      </c>
      <c r="B52">
        <v>10505007001</v>
      </c>
      <c r="C52" t="s">
        <v>151</v>
      </c>
      <c r="D52" s="29" t="s">
        <v>152</v>
      </c>
      <c r="E52" t="s">
        <v>94</v>
      </c>
      <c r="F52">
        <v>228.12</v>
      </c>
      <c r="G52">
        <v>60.04</v>
      </c>
      <c r="H52">
        <v>13696.32</v>
      </c>
    </row>
    <row r="53" spans="1:8" ht="24" hidden="1">
      <c r="A53">
        <v>52</v>
      </c>
      <c r="B53">
        <v>10505019001</v>
      </c>
      <c r="C53" t="s">
        <v>153</v>
      </c>
      <c r="D53" s="29" t="s">
        <v>154</v>
      </c>
      <c r="E53" t="s">
        <v>94</v>
      </c>
      <c r="F53">
        <v>76.239999999999995</v>
      </c>
      <c r="G53">
        <v>56.08</v>
      </c>
      <c r="H53">
        <v>4275.54</v>
      </c>
    </row>
    <row r="54" spans="1:8" ht="24" hidden="1">
      <c r="A54">
        <v>53</v>
      </c>
      <c r="B54">
        <v>10505004003</v>
      </c>
      <c r="C54" t="s">
        <v>144</v>
      </c>
      <c r="D54" s="29" t="s">
        <v>155</v>
      </c>
      <c r="E54" t="s">
        <v>94</v>
      </c>
      <c r="F54">
        <v>12835.58</v>
      </c>
      <c r="G54">
        <v>106.94</v>
      </c>
      <c r="H54">
        <v>1372636.93</v>
      </c>
    </row>
    <row r="55" spans="1:8" ht="24" hidden="1">
      <c r="A55">
        <v>54</v>
      </c>
      <c r="B55">
        <v>10505004004</v>
      </c>
      <c r="C55" t="s">
        <v>144</v>
      </c>
      <c r="D55" s="29" t="s">
        <v>156</v>
      </c>
      <c r="E55" t="s">
        <v>94</v>
      </c>
      <c r="F55">
        <v>173.76</v>
      </c>
      <c r="G55">
        <v>101.1</v>
      </c>
      <c r="H55">
        <v>17567.14</v>
      </c>
    </row>
    <row r="56" spans="1:8" ht="24" hidden="1">
      <c r="A56">
        <v>55</v>
      </c>
      <c r="B56">
        <v>10505004005</v>
      </c>
      <c r="C56" t="s">
        <v>144</v>
      </c>
      <c r="D56" s="29" t="s">
        <v>157</v>
      </c>
      <c r="E56" t="s">
        <v>94</v>
      </c>
      <c r="F56">
        <v>2839.65</v>
      </c>
      <c r="G56">
        <v>97.98</v>
      </c>
      <c r="H56">
        <v>278228.90999999997</v>
      </c>
    </row>
    <row r="57" spans="1:8" ht="24" hidden="1">
      <c r="A57">
        <v>56</v>
      </c>
      <c r="B57">
        <v>10505004006</v>
      </c>
      <c r="C57" t="s">
        <v>144</v>
      </c>
      <c r="D57" s="29" t="s">
        <v>158</v>
      </c>
      <c r="E57" t="s">
        <v>94</v>
      </c>
      <c r="F57">
        <v>46.79</v>
      </c>
      <c r="G57">
        <v>92.14</v>
      </c>
      <c r="H57">
        <v>4311.2299999999996</v>
      </c>
    </row>
    <row r="58" spans="1:8" ht="24" hidden="1">
      <c r="A58">
        <v>57</v>
      </c>
      <c r="B58">
        <v>10505004007</v>
      </c>
      <c r="C58" t="s">
        <v>144</v>
      </c>
      <c r="D58" s="29" t="s">
        <v>146</v>
      </c>
      <c r="E58" t="s">
        <v>94</v>
      </c>
      <c r="F58">
        <v>765.90499999999997</v>
      </c>
      <c r="G58">
        <v>117.23</v>
      </c>
      <c r="H58">
        <v>89787.04</v>
      </c>
    </row>
    <row r="59" spans="1:8" ht="24" hidden="1">
      <c r="A59">
        <v>58</v>
      </c>
      <c r="B59">
        <v>10505004008</v>
      </c>
      <c r="C59" t="s">
        <v>144</v>
      </c>
      <c r="D59" s="29" t="s">
        <v>159</v>
      </c>
      <c r="E59" t="s">
        <v>94</v>
      </c>
      <c r="F59">
        <v>765.90499999999997</v>
      </c>
      <c r="G59">
        <v>142.47999999999999</v>
      </c>
      <c r="H59">
        <v>109126.14</v>
      </c>
    </row>
    <row r="60" spans="1:8" ht="24" hidden="1">
      <c r="A60">
        <v>59</v>
      </c>
      <c r="B60">
        <v>10505005002</v>
      </c>
      <c r="C60" t="s">
        <v>149</v>
      </c>
      <c r="D60" s="29" t="s">
        <v>160</v>
      </c>
      <c r="E60" t="s">
        <v>94</v>
      </c>
      <c r="F60">
        <v>1929.03</v>
      </c>
      <c r="G60">
        <v>43.41</v>
      </c>
      <c r="H60">
        <v>83739.19</v>
      </c>
    </row>
    <row r="61" spans="1:8" ht="24" hidden="1">
      <c r="A61">
        <v>60</v>
      </c>
      <c r="B61">
        <v>10505006001</v>
      </c>
      <c r="C61" t="s">
        <v>161</v>
      </c>
      <c r="D61" s="29" t="s">
        <v>162</v>
      </c>
      <c r="E61" t="s">
        <v>94</v>
      </c>
      <c r="F61">
        <v>1096.3499999999999</v>
      </c>
      <c r="G61">
        <v>78.28</v>
      </c>
      <c r="H61">
        <v>85822.28</v>
      </c>
    </row>
    <row r="62" spans="1:8" ht="24" hidden="1">
      <c r="A62">
        <v>61</v>
      </c>
      <c r="B62">
        <v>10505006002</v>
      </c>
      <c r="C62" t="s">
        <v>161</v>
      </c>
      <c r="D62" s="29" t="s">
        <v>163</v>
      </c>
      <c r="E62" t="s">
        <v>94</v>
      </c>
      <c r="F62">
        <v>148.68</v>
      </c>
      <c r="G62">
        <v>79.75</v>
      </c>
      <c r="H62">
        <v>11857.23</v>
      </c>
    </row>
    <row r="63" spans="1:8" ht="24" hidden="1">
      <c r="A63">
        <v>62</v>
      </c>
      <c r="B63">
        <v>10505006003</v>
      </c>
      <c r="C63" t="s">
        <v>161</v>
      </c>
      <c r="D63" s="29" t="s">
        <v>164</v>
      </c>
      <c r="E63" t="s">
        <v>94</v>
      </c>
      <c r="F63">
        <v>4251.8599999999997</v>
      </c>
      <c r="G63">
        <v>86.08</v>
      </c>
      <c r="H63">
        <v>366000.11</v>
      </c>
    </row>
    <row r="64" spans="1:8" ht="24" hidden="1">
      <c r="A64">
        <v>63</v>
      </c>
      <c r="B64">
        <v>10505006004</v>
      </c>
      <c r="C64" t="s">
        <v>161</v>
      </c>
      <c r="D64" s="29" t="s">
        <v>165</v>
      </c>
      <c r="E64" t="s">
        <v>94</v>
      </c>
      <c r="F64">
        <v>69.25</v>
      </c>
      <c r="G64">
        <v>160.58000000000001</v>
      </c>
      <c r="H64">
        <v>11120.17</v>
      </c>
    </row>
    <row r="65" spans="1:8" ht="24" hidden="1">
      <c r="A65">
        <v>64</v>
      </c>
      <c r="B65">
        <v>10505006005</v>
      </c>
      <c r="C65" t="s">
        <v>161</v>
      </c>
      <c r="D65" s="29" t="s">
        <v>166</v>
      </c>
      <c r="E65" t="s">
        <v>94</v>
      </c>
      <c r="F65">
        <v>56558.6</v>
      </c>
      <c r="G65">
        <v>163.36000000000001</v>
      </c>
      <c r="H65">
        <v>9239412.9000000004</v>
      </c>
    </row>
    <row r="66" spans="1:8" ht="24" hidden="1">
      <c r="A66">
        <v>65</v>
      </c>
      <c r="B66">
        <v>10505007002</v>
      </c>
      <c r="C66" t="s">
        <v>151</v>
      </c>
      <c r="D66" s="29" t="s">
        <v>152</v>
      </c>
      <c r="E66" t="s">
        <v>94</v>
      </c>
      <c r="F66">
        <v>240.77</v>
      </c>
      <c r="G66">
        <v>60.04</v>
      </c>
      <c r="H66">
        <v>14455.83</v>
      </c>
    </row>
    <row r="67" spans="1:8" ht="24" hidden="1">
      <c r="A67">
        <v>66</v>
      </c>
      <c r="B67">
        <v>10505007003</v>
      </c>
      <c r="C67" t="s">
        <v>151</v>
      </c>
      <c r="D67" s="29" t="s">
        <v>167</v>
      </c>
      <c r="E67" t="s">
        <v>94</v>
      </c>
      <c r="F67">
        <v>1401.1</v>
      </c>
      <c r="G67">
        <v>68.62</v>
      </c>
      <c r="H67">
        <v>96143.48</v>
      </c>
    </row>
    <row r="68" spans="1:8" ht="24" hidden="1">
      <c r="A68">
        <v>67</v>
      </c>
      <c r="B68">
        <v>10505007004</v>
      </c>
      <c r="C68" t="s">
        <v>151</v>
      </c>
      <c r="D68" s="29" t="s">
        <v>168</v>
      </c>
      <c r="E68" t="s">
        <v>94</v>
      </c>
      <c r="F68">
        <v>1077.6400000000001</v>
      </c>
      <c r="G68">
        <v>77.209999999999994</v>
      </c>
      <c r="H68">
        <v>83204.58</v>
      </c>
    </row>
    <row r="69" spans="1:8" ht="24" hidden="1">
      <c r="A69">
        <v>68</v>
      </c>
      <c r="B69">
        <v>10505007005</v>
      </c>
      <c r="C69" t="s">
        <v>151</v>
      </c>
      <c r="D69" s="29" t="s">
        <v>169</v>
      </c>
      <c r="E69" t="s">
        <v>94</v>
      </c>
      <c r="F69">
        <v>11653.17</v>
      </c>
      <c r="G69">
        <v>102.96</v>
      </c>
      <c r="H69">
        <v>1199810.3799999999</v>
      </c>
    </row>
    <row r="70" spans="1:8" ht="24" hidden="1">
      <c r="A70">
        <v>69</v>
      </c>
      <c r="B70">
        <v>10505007006</v>
      </c>
      <c r="C70" t="s">
        <v>151</v>
      </c>
      <c r="D70" s="29" t="s">
        <v>170</v>
      </c>
      <c r="E70" t="s">
        <v>94</v>
      </c>
      <c r="F70">
        <v>19013.3</v>
      </c>
      <c r="G70">
        <v>153.57</v>
      </c>
      <c r="H70">
        <v>2919872.48</v>
      </c>
    </row>
    <row r="71" spans="1:8" ht="24" hidden="1">
      <c r="A71">
        <v>70</v>
      </c>
      <c r="B71">
        <v>10505007007</v>
      </c>
      <c r="C71" t="s">
        <v>171</v>
      </c>
      <c r="D71" s="29" t="s">
        <v>172</v>
      </c>
      <c r="E71" t="s">
        <v>94</v>
      </c>
      <c r="F71">
        <v>1252.8499999999999</v>
      </c>
      <c r="G71">
        <v>115.37</v>
      </c>
      <c r="H71">
        <v>144541.29999999999</v>
      </c>
    </row>
    <row r="72" spans="1:8" ht="24" hidden="1">
      <c r="A72">
        <v>71</v>
      </c>
      <c r="B72">
        <v>10505007008</v>
      </c>
      <c r="C72" t="s">
        <v>171</v>
      </c>
      <c r="D72" s="29" t="s">
        <v>173</v>
      </c>
      <c r="E72" t="s">
        <v>94</v>
      </c>
      <c r="F72">
        <v>2130.13</v>
      </c>
      <c r="G72">
        <v>77.209999999999994</v>
      </c>
      <c r="H72">
        <v>164467.34</v>
      </c>
    </row>
    <row r="73" spans="1:8" ht="24" hidden="1">
      <c r="A73">
        <v>72</v>
      </c>
      <c r="B73">
        <v>10505007009</v>
      </c>
      <c r="C73" t="s">
        <v>171</v>
      </c>
      <c r="D73" s="29" t="s">
        <v>174</v>
      </c>
      <c r="E73" t="s">
        <v>94</v>
      </c>
      <c r="F73">
        <v>454.15</v>
      </c>
      <c r="G73">
        <v>60.04</v>
      </c>
      <c r="H73">
        <v>27267.17</v>
      </c>
    </row>
    <row r="74" spans="1:8" ht="24" hidden="1">
      <c r="A74">
        <v>73</v>
      </c>
      <c r="B74">
        <v>10505008002</v>
      </c>
      <c r="C74" t="s">
        <v>147</v>
      </c>
      <c r="D74" s="29" t="s">
        <v>148</v>
      </c>
      <c r="E74" t="s">
        <v>94</v>
      </c>
      <c r="F74">
        <v>1</v>
      </c>
      <c r="G74">
        <v>59.17</v>
      </c>
      <c r="H74">
        <v>59.17</v>
      </c>
    </row>
    <row r="75" spans="1:8" ht="24" hidden="1">
      <c r="A75">
        <v>74</v>
      </c>
      <c r="B75">
        <v>10505010001</v>
      </c>
      <c r="C75" t="s">
        <v>175</v>
      </c>
      <c r="D75" s="29" t="s">
        <v>176</v>
      </c>
      <c r="E75" t="s">
        <v>94</v>
      </c>
      <c r="F75">
        <v>1087.73</v>
      </c>
      <c r="G75">
        <v>169.82</v>
      </c>
      <c r="H75">
        <v>184718.31</v>
      </c>
    </row>
    <row r="76" spans="1:8" ht="24" hidden="1">
      <c r="A76">
        <v>75</v>
      </c>
      <c r="B76">
        <v>10505011001</v>
      </c>
      <c r="C76" t="s">
        <v>177</v>
      </c>
      <c r="D76" s="29" t="s">
        <v>178</v>
      </c>
      <c r="E76" t="s">
        <v>94</v>
      </c>
      <c r="F76">
        <v>320.98</v>
      </c>
      <c r="G76">
        <v>70.849999999999994</v>
      </c>
      <c r="H76">
        <v>22741.43</v>
      </c>
    </row>
    <row r="77" spans="1:8" ht="24" hidden="1">
      <c r="A77">
        <v>76</v>
      </c>
      <c r="B77">
        <v>10505011002</v>
      </c>
      <c r="C77" t="s">
        <v>177</v>
      </c>
      <c r="D77" s="29" t="s">
        <v>179</v>
      </c>
      <c r="E77" t="s">
        <v>94</v>
      </c>
      <c r="F77">
        <v>320.98</v>
      </c>
      <c r="G77">
        <v>75.099999999999994</v>
      </c>
      <c r="H77">
        <v>24105.599999999999</v>
      </c>
    </row>
    <row r="78" spans="1:8" ht="24" hidden="1">
      <c r="A78">
        <v>77</v>
      </c>
      <c r="B78">
        <v>10505011003</v>
      </c>
      <c r="C78" t="s">
        <v>177</v>
      </c>
      <c r="D78" s="29" t="s">
        <v>180</v>
      </c>
      <c r="E78" t="s">
        <v>94</v>
      </c>
      <c r="F78">
        <v>320.98</v>
      </c>
      <c r="G78">
        <v>109.83</v>
      </c>
      <c r="H78">
        <v>35253.230000000003</v>
      </c>
    </row>
    <row r="79" spans="1:8" ht="24" hidden="1">
      <c r="A79">
        <v>78</v>
      </c>
      <c r="B79">
        <v>10505011004</v>
      </c>
      <c r="C79" t="s">
        <v>177</v>
      </c>
      <c r="D79" s="29" t="s">
        <v>181</v>
      </c>
      <c r="E79" t="s">
        <v>94</v>
      </c>
      <c r="F79">
        <v>320.98</v>
      </c>
      <c r="G79">
        <v>109.83</v>
      </c>
      <c r="H79">
        <v>35253.230000000003</v>
      </c>
    </row>
    <row r="80" spans="1:8" ht="24" hidden="1">
      <c r="A80">
        <v>79</v>
      </c>
      <c r="B80">
        <v>10505012001</v>
      </c>
      <c r="C80" t="s">
        <v>182</v>
      </c>
      <c r="D80" s="29" t="s">
        <v>183</v>
      </c>
      <c r="E80" t="s">
        <v>94</v>
      </c>
      <c r="F80">
        <v>545.21</v>
      </c>
      <c r="G80">
        <v>49.73</v>
      </c>
      <c r="H80">
        <v>27113.29</v>
      </c>
    </row>
    <row r="81" spans="1:8" ht="24" hidden="1">
      <c r="A81">
        <v>80</v>
      </c>
      <c r="B81">
        <v>10505012002</v>
      </c>
      <c r="C81" t="s">
        <v>184</v>
      </c>
      <c r="D81" s="29" t="s">
        <v>185</v>
      </c>
      <c r="E81" t="s">
        <v>94</v>
      </c>
      <c r="F81">
        <v>9</v>
      </c>
      <c r="G81">
        <v>71.3</v>
      </c>
      <c r="H81">
        <v>641.70000000000005</v>
      </c>
    </row>
    <row r="82" spans="1:8" ht="24" hidden="1">
      <c r="A82">
        <v>81</v>
      </c>
      <c r="B82">
        <v>10505006006</v>
      </c>
      <c r="C82" t="s">
        <v>186</v>
      </c>
      <c r="D82" s="29" t="s">
        <v>187</v>
      </c>
      <c r="E82" t="s">
        <v>94</v>
      </c>
      <c r="F82">
        <v>494.37</v>
      </c>
      <c r="G82">
        <v>64.16</v>
      </c>
      <c r="H82">
        <v>31718.78</v>
      </c>
    </row>
    <row r="83" spans="1:8" ht="24" hidden="1">
      <c r="A83">
        <v>82</v>
      </c>
      <c r="B83">
        <v>10505007010</v>
      </c>
      <c r="C83" t="s">
        <v>188</v>
      </c>
      <c r="D83" s="29" t="s">
        <v>189</v>
      </c>
      <c r="E83" t="s">
        <v>94</v>
      </c>
      <c r="F83">
        <v>575.27</v>
      </c>
      <c r="G83">
        <v>60.04</v>
      </c>
      <c r="H83">
        <v>34539.21</v>
      </c>
    </row>
    <row r="84" spans="1:8" ht="132" hidden="1">
      <c r="A84">
        <v>83</v>
      </c>
      <c r="B84">
        <v>10506001001</v>
      </c>
      <c r="C84" t="s">
        <v>190</v>
      </c>
      <c r="D84" s="29" t="s">
        <v>191</v>
      </c>
      <c r="E84" t="s">
        <v>192</v>
      </c>
      <c r="F84">
        <v>22.22</v>
      </c>
      <c r="G84">
        <v>3936.12</v>
      </c>
      <c r="H84">
        <v>87460.59</v>
      </c>
    </row>
    <row r="85" spans="1:8" ht="132" hidden="1">
      <c r="A85">
        <v>84</v>
      </c>
      <c r="B85">
        <v>10506001002</v>
      </c>
      <c r="C85" t="s">
        <v>190</v>
      </c>
      <c r="D85" s="29" t="s">
        <v>193</v>
      </c>
      <c r="E85" t="s">
        <v>192</v>
      </c>
      <c r="F85">
        <v>46.951999999999998</v>
      </c>
      <c r="G85">
        <v>3584.94</v>
      </c>
      <c r="H85">
        <v>168320.1</v>
      </c>
    </row>
    <row r="86" spans="1:8" ht="132" hidden="1">
      <c r="A86">
        <v>85</v>
      </c>
      <c r="B86">
        <v>10506001003</v>
      </c>
      <c r="C86" t="s">
        <v>190</v>
      </c>
      <c r="D86" s="29" t="s">
        <v>194</v>
      </c>
      <c r="E86" t="s">
        <v>192</v>
      </c>
      <c r="F86">
        <v>8.6370000000000005</v>
      </c>
      <c r="G86">
        <v>3549.18</v>
      </c>
      <c r="H86">
        <v>30654.27</v>
      </c>
    </row>
    <row r="87" spans="1:8" ht="132" hidden="1">
      <c r="A87">
        <v>86</v>
      </c>
      <c r="B87">
        <v>10506001004</v>
      </c>
      <c r="C87" t="s">
        <v>190</v>
      </c>
      <c r="D87" s="29" t="s">
        <v>195</v>
      </c>
      <c r="E87" t="s">
        <v>192</v>
      </c>
      <c r="F87">
        <v>16.437000000000001</v>
      </c>
      <c r="G87">
        <v>3500.24</v>
      </c>
      <c r="H87">
        <v>57533.440000000002</v>
      </c>
    </row>
    <row r="88" spans="1:8" ht="132" hidden="1">
      <c r="A88">
        <v>87</v>
      </c>
      <c r="B88">
        <v>10506001005</v>
      </c>
      <c r="C88" t="s">
        <v>190</v>
      </c>
      <c r="D88" s="29" t="s">
        <v>196</v>
      </c>
      <c r="E88" t="s">
        <v>192</v>
      </c>
      <c r="F88">
        <v>10.06</v>
      </c>
      <c r="G88">
        <v>3443.76</v>
      </c>
      <c r="H88">
        <v>34644.230000000003</v>
      </c>
    </row>
    <row r="89" spans="1:8" ht="132" hidden="1">
      <c r="A89">
        <v>88</v>
      </c>
      <c r="B89">
        <v>10506001006</v>
      </c>
      <c r="C89" t="s">
        <v>190</v>
      </c>
      <c r="D89" s="29" t="s">
        <v>197</v>
      </c>
      <c r="E89" t="s">
        <v>192</v>
      </c>
      <c r="F89">
        <v>10.193</v>
      </c>
      <c r="G89">
        <v>3510.59</v>
      </c>
      <c r="H89">
        <v>35783.440000000002</v>
      </c>
    </row>
    <row r="90" spans="1:8" ht="132" hidden="1">
      <c r="A90">
        <v>89</v>
      </c>
      <c r="B90">
        <v>10506001007</v>
      </c>
      <c r="C90" t="s">
        <v>190</v>
      </c>
      <c r="D90" s="29" t="s">
        <v>198</v>
      </c>
      <c r="E90" t="s">
        <v>192</v>
      </c>
      <c r="F90">
        <v>34.546999999999997</v>
      </c>
      <c r="G90">
        <v>3510.59</v>
      </c>
      <c r="H90">
        <v>121280.35</v>
      </c>
    </row>
    <row r="91" spans="1:8" hidden="1"/>
    <row r="92" spans="1:8" ht="132" hidden="1">
      <c r="A92">
        <v>90</v>
      </c>
      <c r="B92">
        <v>10506001008</v>
      </c>
      <c r="C92" t="s">
        <v>190</v>
      </c>
      <c r="D92" s="29" t="s">
        <v>199</v>
      </c>
      <c r="E92" t="s">
        <v>192</v>
      </c>
      <c r="F92">
        <v>171.00299999999999</v>
      </c>
      <c r="G92">
        <v>3527.53</v>
      </c>
      <c r="H92">
        <v>603218.21</v>
      </c>
    </row>
    <row r="93" spans="1:8" hidden="1"/>
    <row r="94" spans="1:8" ht="132" hidden="1">
      <c r="A94">
        <v>91</v>
      </c>
      <c r="B94">
        <v>10506001009</v>
      </c>
      <c r="C94" t="s">
        <v>190</v>
      </c>
      <c r="D94" s="29" t="s">
        <v>200</v>
      </c>
      <c r="E94" t="s">
        <v>192</v>
      </c>
      <c r="F94">
        <v>91.171000000000006</v>
      </c>
      <c r="G94">
        <v>3523.26</v>
      </c>
      <c r="H94">
        <v>321219.14</v>
      </c>
    </row>
    <row r="95" spans="1:8" hidden="1"/>
    <row r="96" spans="1:8" ht="132">
      <c r="A96">
        <v>92</v>
      </c>
      <c r="B96">
        <v>10506001010</v>
      </c>
      <c r="C96" t="s">
        <v>201</v>
      </c>
      <c r="D96" s="29" t="s">
        <v>202</v>
      </c>
      <c r="E96" t="s">
        <v>192</v>
      </c>
      <c r="F96">
        <v>5.9039999999999999</v>
      </c>
      <c r="G96">
        <v>3551.06</v>
      </c>
      <c r="H96">
        <v>20965.46</v>
      </c>
    </row>
    <row r="97" spans="1:8" ht="132">
      <c r="A97">
        <v>93</v>
      </c>
      <c r="B97">
        <v>10506001011</v>
      </c>
      <c r="C97" t="s">
        <v>201</v>
      </c>
      <c r="D97" s="29" t="s">
        <v>203</v>
      </c>
      <c r="E97" t="s">
        <v>192</v>
      </c>
      <c r="F97">
        <v>6.3579999999999997</v>
      </c>
      <c r="G97">
        <v>3551.06</v>
      </c>
      <c r="H97">
        <v>22577.64</v>
      </c>
    </row>
    <row r="98" spans="1:8" ht="132">
      <c r="A98">
        <v>94</v>
      </c>
      <c r="B98">
        <v>10506001012</v>
      </c>
      <c r="C98" t="s">
        <v>201</v>
      </c>
      <c r="D98" s="29" t="s">
        <v>204</v>
      </c>
      <c r="E98" t="s">
        <v>192</v>
      </c>
      <c r="F98">
        <v>51.152999999999999</v>
      </c>
      <c r="G98">
        <v>3568</v>
      </c>
      <c r="H98">
        <v>182513.9</v>
      </c>
    </row>
    <row r="99" spans="1:8" ht="132">
      <c r="A99">
        <v>95</v>
      </c>
      <c r="B99">
        <v>10506001013</v>
      </c>
      <c r="C99" t="s">
        <v>201</v>
      </c>
      <c r="D99" s="29" t="s">
        <v>205</v>
      </c>
      <c r="E99" t="s">
        <v>192</v>
      </c>
      <c r="F99">
        <v>91.94</v>
      </c>
      <c r="G99">
        <v>3563.73</v>
      </c>
      <c r="H99">
        <v>327649.34000000003</v>
      </c>
    </row>
    <row r="100" spans="1:8" ht="132">
      <c r="A100">
        <v>96</v>
      </c>
      <c r="B100">
        <v>10506001014</v>
      </c>
      <c r="C100" t="s">
        <v>201</v>
      </c>
      <c r="D100" s="29" t="s">
        <v>206</v>
      </c>
      <c r="E100" t="s">
        <v>192</v>
      </c>
      <c r="F100">
        <v>62.31</v>
      </c>
      <c r="G100">
        <v>3690.79</v>
      </c>
      <c r="H100">
        <v>229973.12</v>
      </c>
    </row>
    <row r="101" spans="1:8" ht="132" hidden="1">
      <c r="A101">
        <v>97</v>
      </c>
      <c r="B101">
        <v>10506001015</v>
      </c>
      <c r="C101" t="s">
        <v>207</v>
      </c>
      <c r="D101" s="29" t="s">
        <v>208</v>
      </c>
      <c r="E101" t="s">
        <v>192</v>
      </c>
      <c r="F101">
        <v>5.6950000000000003</v>
      </c>
      <c r="G101">
        <v>4820.62</v>
      </c>
      <c r="H101">
        <v>27453.43</v>
      </c>
    </row>
    <row r="102" spans="1:8" hidden="1"/>
    <row r="103" spans="1:8" ht="132" hidden="1">
      <c r="A103">
        <v>98</v>
      </c>
      <c r="B103">
        <v>10506001016</v>
      </c>
      <c r="C103" t="s">
        <v>207</v>
      </c>
      <c r="D103" s="29" t="s">
        <v>191</v>
      </c>
      <c r="E103" t="s">
        <v>192</v>
      </c>
      <c r="F103">
        <v>65.649000000000001</v>
      </c>
      <c r="G103">
        <v>5164.3900000000003</v>
      </c>
      <c r="H103">
        <v>339037.04</v>
      </c>
    </row>
    <row r="104" spans="1:8" hidden="1"/>
    <row r="105" spans="1:8" ht="132" hidden="1">
      <c r="A105">
        <v>99</v>
      </c>
      <c r="B105">
        <v>10506001017</v>
      </c>
      <c r="C105" t="s">
        <v>207</v>
      </c>
      <c r="D105" s="29" t="s">
        <v>193</v>
      </c>
      <c r="E105" t="s">
        <v>192</v>
      </c>
      <c r="F105">
        <v>83.564999999999998</v>
      </c>
      <c r="G105">
        <v>4014.49</v>
      </c>
      <c r="H105">
        <v>335470.86</v>
      </c>
    </row>
    <row r="106" spans="1:8" hidden="1"/>
    <row r="107" spans="1:8" ht="132" hidden="1">
      <c r="A107">
        <v>100</v>
      </c>
      <c r="B107">
        <v>10506001018</v>
      </c>
      <c r="C107" t="s">
        <v>207</v>
      </c>
      <c r="D107" s="29" t="s">
        <v>209</v>
      </c>
      <c r="E107" t="s">
        <v>192</v>
      </c>
      <c r="F107">
        <v>31.888999999999999</v>
      </c>
      <c r="G107">
        <v>3927.9</v>
      </c>
      <c r="H107">
        <v>125256.8</v>
      </c>
    </row>
    <row r="108" spans="1:8" hidden="1"/>
    <row r="109" spans="1:8" ht="36" hidden="1">
      <c r="A109">
        <v>101</v>
      </c>
      <c r="B109">
        <v>10506001019</v>
      </c>
      <c r="C109" t="s">
        <v>210</v>
      </c>
      <c r="D109" s="29" t="s">
        <v>211</v>
      </c>
      <c r="E109" t="s">
        <v>212</v>
      </c>
      <c r="F109">
        <v>236</v>
      </c>
      <c r="G109">
        <v>10.09</v>
      </c>
      <c r="H109">
        <v>2381.2399999999998</v>
      </c>
    </row>
    <row r="110" spans="1:8" ht="36" hidden="1">
      <c r="A110">
        <v>102</v>
      </c>
      <c r="B110">
        <v>10506001020</v>
      </c>
      <c r="C110" t="s">
        <v>210</v>
      </c>
      <c r="D110" s="29" t="s">
        <v>213</v>
      </c>
      <c r="E110" t="s">
        <v>212</v>
      </c>
      <c r="F110">
        <v>211</v>
      </c>
      <c r="G110">
        <v>12.11</v>
      </c>
      <c r="H110">
        <v>2555.21</v>
      </c>
    </row>
    <row r="111" spans="1:8" ht="36" hidden="1">
      <c r="A111">
        <v>103</v>
      </c>
      <c r="B111">
        <v>10506001021</v>
      </c>
      <c r="C111" t="s">
        <v>210</v>
      </c>
      <c r="D111" s="29" t="s">
        <v>214</v>
      </c>
      <c r="E111" t="s">
        <v>212</v>
      </c>
      <c r="F111">
        <v>177</v>
      </c>
      <c r="G111">
        <v>12.45</v>
      </c>
      <c r="H111">
        <v>2203.65</v>
      </c>
    </row>
    <row r="112" spans="1:8" ht="36" hidden="1">
      <c r="A112">
        <v>104</v>
      </c>
      <c r="B112">
        <v>10506001022</v>
      </c>
      <c r="C112" t="s">
        <v>210</v>
      </c>
      <c r="D112" s="29" t="s">
        <v>215</v>
      </c>
      <c r="E112" t="s">
        <v>212</v>
      </c>
      <c r="F112">
        <v>2083</v>
      </c>
      <c r="G112">
        <v>13.02</v>
      </c>
      <c r="H112">
        <v>27120.66</v>
      </c>
    </row>
    <row r="113" spans="1:8" ht="36" hidden="1">
      <c r="A113">
        <v>105</v>
      </c>
      <c r="B113">
        <v>10506001023</v>
      </c>
      <c r="C113" t="s">
        <v>210</v>
      </c>
      <c r="D113" s="29" t="s">
        <v>216</v>
      </c>
      <c r="E113" t="s">
        <v>212</v>
      </c>
      <c r="F113">
        <v>313</v>
      </c>
      <c r="G113">
        <v>15.4</v>
      </c>
      <c r="H113">
        <v>4820.2</v>
      </c>
    </row>
    <row r="114" spans="1:8" ht="36" hidden="1">
      <c r="A114">
        <v>106</v>
      </c>
      <c r="B114">
        <v>10506001024</v>
      </c>
      <c r="C114" t="s">
        <v>210</v>
      </c>
      <c r="D114" s="29" t="s">
        <v>217</v>
      </c>
      <c r="E114" t="s">
        <v>212</v>
      </c>
      <c r="F114">
        <v>162</v>
      </c>
      <c r="G114">
        <v>16.079999999999998</v>
      </c>
      <c r="H114">
        <v>2604.96</v>
      </c>
    </row>
    <row r="115" spans="1:8" ht="36" hidden="1">
      <c r="A115">
        <v>107</v>
      </c>
      <c r="B115">
        <v>10506001025</v>
      </c>
      <c r="C115" t="s">
        <v>210</v>
      </c>
      <c r="D115" s="29" t="s">
        <v>218</v>
      </c>
      <c r="E115" t="s">
        <v>212</v>
      </c>
      <c r="F115">
        <v>109</v>
      </c>
      <c r="G115">
        <v>20.52</v>
      </c>
      <c r="H115">
        <v>2236.6799999999998</v>
      </c>
    </row>
    <row r="116" spans="1:8" hidden="1">
      <c r="A116" t="s">
        <v>53</v>
      </c>
      <c r="B116" t="s">
        <v>53</v>
      </c>
      <c r="C116" t="s">
        <v>111</v>
      </c>
      <c r="D116" s="29" t="s">
        <v>53</v>
      </c>
      <c r="E116" t="s">
        <v>53</v>
      </c>
      <c r="F116" t="s">
        <v>53</v>
      </c>
      <c r="G116" t="s">
        <v>53</v>
      </c>
      <c r="H116">
        <v>19980489.850000001</v>
      </c>
    </row>
    <row r="117" spans="1:8" ht="60" hidden="1">
      <c r="A117">
        <v>108</v>
      </c>
      <c r="B117">
        <v>10506001026</v>
      </c>
      <c r="C117" t="s">
        <v>190</v>
      </c>
      <c r="D117" s="29" t="s">
        <v>219</v>
      </c>
      <c r="E117" t="s">
        <v>192</v>
      </c>
      <c r="F117">
        <v>466.27800000000002</v>
      </c>
      <c r="G117">
        <v>3946.79</v>
      </c>
      <c r="H117">
        <v>1840301.35</v>
      </c>
    </row>
    <row r="118" spans="1:8" ht="60" hidden="1">
      <c r="A118">
        <v>109</v>
      </c>
      <c r="B118">
        <v>10506001027</v>
      </c>
      <c r="C118" t="s">
        <v>190</v>
      </c>
      <c r="D118" s="29" t="s">
        <v>220</v>
      </c>
      <c r="E118" t="s">
        <v>192</v>
      </c>
      <c r="F118">
        <v>264.363</v>
      </c>
      <c r="G118">
        <v>3592.35</v>
      </c>
      <c r="H118">
        <v>949684.42</v>
      </c>
    </row>
    <row r="119" spans="1:8" ht="60" hidden="1">
      <c r="A119">
        <v>110</v>
      </c>
      <c r="B119">
        <v>10506001028</v>
      </c>
      <c r="C119" t="s">
        <v>190</v>
      </c>
      <c r="D119" s="29" t="s">
        <v>221</v>
      </c>
      <c r="E119" t="s">
        <v>192</v>
      </c>
      <c r="F119">
        <v>99.478999999999999</v>
      </c>
      <c r="G119">
        <v>3556.59</v>
      </c>
      <c r="H119">
        <v>353806.02</v>
      </c>
    </row>
    <row r="120" spans="1:8" ht="60" hidden="1">
      <c r="A120">
        <v>111</v>
      </c>
      <c r="B120">
        <v>10506001029</v>
      </c>
      <c r="C120" t="s">
        <v>190</v>
      </c>
      <c r="D120" s="29" t="s">
        <v>222</v>
      </c>
      <c r="E120" t="s">
        <v>192</v>
      </c>
      <c r="F120">
        <v>11.676</v>
      </c>
      <c r="G120">
        <v>3507.66</v>
      </c>
      <c r="H120">
        <v>40955.440000000002</v>
      </c>
    </row>
    <row r="121" spans="1:8" ht="60" hidden="1">
      <c r="A121">
        <v>112</v>
      </c>
      <c r="B121">
        <v>10506001030</v>
      </c>
      <c r="C121" t="s">
        <v>190</v>
      </c>
      <c r="D121" s="29" t="s">
        <v>223</v>
      </c>
      <c r="E121" t="s">
        <v>192</v>
      </c>
      <c r="F121">
        <v>6.5579999999999998</v>
      </c>
      <c r="G121">
        <v>3563.24</v>
      </c>
      <c r="H121">
        <v>23367.73</v>
      </c>
    </row>
    <row r="122" spans="1:8" ht="60" hidden="1">
      <c r="A122">
        <v>113</v>
      </c>
      <c r="B122">
        <v>10506001031</v>
      </c>
      <c r="C122" t="s">
        <v>190</v>
      </c>
      <c r="D122" s="29" t="s">
        <v>224</v>
      </c>
      <c r="E122" t="s">
        <v>192</v>
      </c>
      <c r="F122">
        <v>4.4850000000000003</v>
      </c>
      <c r="G122">
        <v>3630.08</v>
      </c>
      <c r="H122">
        <v>16280.91</v>
      </c>
    </row>
    <row r="123" spans="1:8" ht="60" hidden="1">
      <c r="A123">
        <v>114</v>
      </c>
      <c r="B123">
        <v>10506001032</v>
      </c>
      <c r="C123" t="s">
        <v>190</v>
      </c>
      <c r="D123" s="29" t="s">
        <v>225</v>
      </c>
      <c r="E123" t="s">
        <v>192</v>
      </c>
      <c r="F123">
        <v>3.9220000000000002</v>
      </c>
      <c r="G123">
        <v>3630.07</v>
      </c>
      <c r="H123">
        <v>14237.13</v>
      </c>
    </row>
    <row r="124" spans="1:8" ht="60" hidden="1">
      <c r="A124">
        <v>115</v>
      </c>
      <c r="B124">
        <v>10506001033</v>
      </c>
      <c r="C124" t="s">
        <v>190</v>
      </c>
      <c r="D124" s="29" t="s">
        <v>226</v>
      </c>
      <c r="E124" t="s">
        <v>192</v>
      </c>
      <c r="F124">
        <v>4.9969999999999999</v>
      </c>
      <c r="G124">
        <v>3534.94</v>
      </c>
      <c r="H124">
        <v>17664.099999999999</v>
      </c>
    </row>
    <row r="125" spans="1:8" ht="48">
      <c r="A125">
        <v>116</v>
      </c>
      <c r="B125">
        <v>10506001034</v>
      </c>
      <c r="C125" t="s">
        <v>201</v>
      </c>
      <c r="D125" s="29" t="s">
        <v>227</v>
      </c>
      <c r="E125" t="s">
        <v>192</v>
      </c>
      <c r="F125">
        <v>14.962999999999999</v>
      </c>
      <c r="G125">
        <v>3687.54</v>
      </c>
      <c r="H125">
        <v>55176.66</v>
      </c>
    </row>
    <row r="126" spans="1:8" ht="48">
      <c r="A126">
        <v>117</v>
      </c>
      <c r="B126">
        <v>10506001035</v>
      </c>
      <c r="C126" t="s">
        <v>201</v>
      </c>
      <c r="D126" s="29" t="s">
        <v>228</v>
      </c>
      <c r="E126" t="s">
        <v>192</v>
      </c>
      <c r="F126">
        <v>14.872999999999999</v>
      </c>
      <c r="G126">
        <v>3632.82</v>
      </c>
      <c r="H126">
        <v>54030.93</v>
      </c>
    </row>
    <row r="127" spans="1:8" ht="48">
      <c r="A127">
        <v>118</v>
      </c>
      <c r="B127">
        <v>10506001036</v>
      </c>
      <c r="C127" t="s">
        <v>201</v>
      </c>
      <c r="D127" s="29" t="s">
        <v>229</v>
      </c>
      <c r="E127" t="s">
        <v>192</v>
      </c>
      <c r="F127">
        <v>21.646999999999998</v>
      </c>
      <c r="G127">
        <v>3589.65</v>
      </c>
      <c r="H127">
        <v>77705.149999999994</v>
      </c>
    </row>
    <row r="128" spans="1:8" ht="48">
      <c r="A128">
        <v>119</v>
      </c>
      <c r="B128">
        <v>10506001037</v>
      </c>
      <c r="C128" t="s">
        <v>201</v>
      </c>
      <c r="D128" s="29" t="s">
        <v>230</v>
      </c>
      <c r="E128" t="s">
        <v>192</v>
      </c>
      <c r="F128">
        <v>15.212999999999999</v>
      </c>
      <c r="G128">
        <v>3540.7</v>
      </c>
      <c r="H128">
        <v>53864.67</v>
      </c>
    </row>
    <row r="129" spans="1:8" ht="48">
      <c r="A129">
        <v>120</v>
      </c>
      <c r="B129">
        <v>10506001038</v>
      </c>
      <c r="C129" t="s">
        <v>201</v>
      </c>
      <c r="D129" s="29" t="s">
        <v>231</v>
      </c>
      <c r="E129" t="s">
        <v>192</v>
      </c>
      <c r="F129">
        <v>12.321999999999999</v>
      </c>
      <c r="G129">
        <v>3603.72</v>
      </c>
      <c r="H129">
        <v>44405.04</v>
      </c>
    </row>
    <row r="130" spans="1:8" ht="48">
      <c r="A130">
        <v>121</v>
      </c>
      <c r="B130">
        <v>10506001039</v>
      </c>
      <c r="C130" t="s">
        <v>201</v>
      </c>
      <c r="D130" s="29" t="s">
        <v>232</v>
      </c>
      <c r="E130" t="s">
        <v>192</v>
      </c>
      <c r="F130">
        <v>20.215</v>
      </c>
      <c r="G130">
        <v>3670.53</v>
      </c>
      <c r="H130">
        <v>74199.759999999995</v>
      </c>
    </row>
    <row r="131" spans="1:8" ht="48">
      <c r="A131">
        <v>122</v>
      </c>
      <c r="B131">
        <v>10506001040</v>
      </c>
      <c r="C131" t="s">
        <v>201</v>
      </c>
      <c r="D131" s="29" t="s">
        <v>233</v>
      </c>
      <c r="E131" t="s">
        <v>192</v>
      </c>
      <c r="F131">
        <v>55.506</v>
      </c>
      <c r="G131">
        <v>3670.53</v>
      </c>
      <c r="H131">
        <v>203736.44</v>
      </c>
    </row>
    <row r="132" spans="1:8" ht="48">
      <c r="A132">
        <v>123</v>
      </c>
      <c r="B132">
        <v>10506001041</v>
      </c>
      <c r="C132" t="s">
        <v>201</v>
      </c>
      <c r="D132" s="29" t="s">
        <v>234</v>
      </c>
      <c r="E132" t="s">
        <v>192</v>
      </c>
      <c r="F132">
        <v>348.15100000000001</v>
      </c>
      <c r="G132">
        <v>3575.41</v>
      </c>
      <c r="H132">
        <v>1244782.57</v>
      </c>
    </row>
    <row r="133" spans="1:8" ht="48">
      <c r="A133">
        <v>124</v>
      </c>
      <c r="B133">
        <v>10506001042</v>
      </c>
      <c r="C133" t="s">
        <v>201</v>
      </c>
      <c r="D133" s="29" t="s">
        <v>235</v>
      </c>
      <c r="E133" t="s">
        <v>192</v>
      </c>
      <c r="F133">
        <v>258.97000000000003</v>
      </c>
      <c r="G133">
        <v>3570.31</v>
      </c>
      <c r="H133">
        <v>924603.18</v>
      </c>
    </row>
    <row r="134" spans="1:8" ht="48">
      <c r="A134">
        <v>125</v>
      </c>
      <c r="B134">
        <v>10506001043</v>
      </c>
      <c r="C134" t="s">
        <v>201</v>
      </c>
      <c r="D134" s="29" t="s">
        <v>236</v>
      </c>
      <c r="E134" t="s">
        <v>192</v>
      </c>
      <c r="F134">
        <v>234.23</v>
      </c>
      <c r="G134">
        <v>3690.79</v>
      </c>
      <c r="H134">
        <v>864493.74</v>
      </c>
    </row>
    <row r="135" spans="1:8" ht="48">
      <c r="A135">
        <v>126</v>
      </c>
      <c r="B135">
        <v>10506001044</v>
      </c>
      <c r="C135" t="s">
        <v>201</v>
      </c>
      <c r="D135" s="29" t="s">
        <v>237</v>
      </c>
      <c r="E135" t="s">
        <v>192</v>
      </c>
      <c r="F135">
        <v>1.8160000000000001</v>
      </c>
      <c r="G135">
        <v>3697.37</v>
      </c>
      <c r="H135">
        <v>6714.42</v>
      </c>
    </row>
    <row r="136" spans="1:8" ht="48">
      <c r="A136">
        <v>127</v>
      </c>
      <c r="B136">
        <v>10506001045</v>
      </c>
      <c r="C136" t="s">
        <v>201</v>
      </c>
      <c r="D136" s="29" t="s">
        <v>238</v>
      </c>
      <c r="E136" t="s">
        <v>192</v>
      </c>
      <c r="F136">
        <v>2.1419999999999999</v>
      </c>
      <c r="G136">
        <v>4386.38</v>
      </c>
      <c r="H136">
        <v>9395.6299999999992</v>
      </c>
    </row>
    <row r="137" spans="1:8" ht="48">
      <c r="A137">
        <v>128</v>
      </c>
      <c r="B137">
        <v>10506001046</v>
      </c>
      <c r="C137" t="s">
        <v>201</v>
      </c>
      <c r="D137" s="29" t="s">
        <v>239</v>
      </c>
      <c r="E137" t="s">
        <v>192</v>
      </c>
      <c r="F137">
        <v>109.898</v>
      </c>
      <c r="G137">
        <v>4029.43</v>
      </c>
      <c r="H137">
        <v>442826.3</v>
      </c>
    </row>
    <row r="138" spans="1:8" ht="48">
      <c r="A138">
        <v>129</v>
      </c>
      <c r="B138">
        <v>10506001047</v>
      </c>
      <c r="C138" t="s">
        <v>201</v>
      </c>
      <c r="D138" s="29" t="s">
        <v>240</v>
      </c>
      <c r="E138" t="s">
        <v>192</v>
      </c>
      <c r="F138">
        <v>1167.1199999999999</v>
      </c>
      <c r="G138">
        <v>3965.43</v>
      </c>
      <c r="H138">
        <v>4628132.66</v>
      </c>
    </row>
    <row r="139" spans="1:8" ht="48">
      <c r="A139">
        <v>130</v>
      </c>
      <c r="B139">
        <v>10506001048</v>
      </c>
      <c r="C139" t="s">
        <v>201</v>
      </c>
      <c r="D139" s="29" t="s">
        <v>241</v>
      </c>
      <c r="E139" t="s">
        <v>192</v>
      </c>
      <c r="F139">
        <v>165.119</v>
      </c>
      <c r="G139">
        <v>3990.07</v>
      </c>
      <c r="H139">
        <v>658836.37</v>
      </c>
    </row>
    <row r="140" spans="1:8" ht="48" hidden="1">
      <c r="A140">
        <v>131</v>
      </c>
      <c r="B140">
        <v>10506001049</v>
      </c>
      <c r="C140" t="s">
        <v>207</v>
      </c>
      <c r="D140" s="29" t="s">
        <v>242</v>
      </c>
      <c r="E140" t="s">
        <v>192</v>
      </c>
      <c r="F140">
        <v>61.042000000000002</v>
      </c>
      <c r="G140">
        <v>4841.01</v>
      </c>
      <c r="H140">
        <v>295504.93</v>
      </c>
    </row>
    <row r="141" spans="1:8" ht="48" hidden="1">
      <c r="A141">
        <v>132</v>
      </c>
      <c r="B141">
        <v>10506001050</v>
      </c>
      <c r="C141" t="s">
        <v>207</v>
      </c>
      <c r="D141" s="29" t="s">
        <v>243</v>
      </c>
      <c r="E141" t="s">
        <v>192</v>
      </c>
      <c r="F141">
        <v>606.81200000000001</v>
      </c>
      <c r="G141">
        <v>5187.83</v>
      </c>
      <c r="H141">
        <v>3148037.5</v>
      </c>
    </row>
    <row r="142" spans="1:8" ht="48" hidden="1">
      <c r="A142">
        <v>133</v>
      </c>
      <c r="B142">
        <v>10506001051</v>
      </c>
      <c r="C142" t="s">
        <v>207</v>
      </c>
      <c r="D142" s="29" t="s">
        <v>244</v>
      </c>
      <c r="E142" t="s">
        <v>192</v>
      </c>
      <c r="F142">
        <v>452.16899999999998</v>
      </c>
      <c r="G142">
        <v>4008.47</v>
      </c>
      <c r="H142">
        <v>1812505.87</v>
      </c>
    </row>
    <row r="143" spans="1:8" ht="48" hidden="1">
      <c r="A143">
        <v>134</v>
      </c>
      <c r="B143">
        <v>10506001052</v>
      </c>
      <c r="C143" t="s">
        <v>207</v>
      </c>
      <c r="D143" s="29" t="s">
        <v>245</v>
      </c>
      <c r="E143" t="s">
        <v>192</v>
      </c>
      <c r="F143">
        <v>114.312</v>
      </c>
      <c r="G143">
        <v>3939.77</v>
      </c>
      <c r="H143">
        <v>450362.99</v>
      </c>
    </row>
    <row r="144" spans="1:8" ht="48" hidden="1">
      <c r="A144">
        <v>135</v>
      </c>
      <c r="B144">
        <v>10506001053</v>
      </c>
      <c r="C144" t="s">
        <v>246</v>
      </c>
      <c r="D144" s="29" t="s">
        <v>247</v>
      </c>
      <c r="E144" t="s">
        <v>192</v>
      </c>
      <c r="F144">
        <v>108.61199999999999</v>
      </c>
      <c r="G144">
        <v>7634.87</v>
      </c>
      <c r="H144">
        <v>829238.5</v>
      </c>
    </row>
    <row r="145" spans="1:8" ht="36" hidden="1">
      <c r="A145">
        <v>136</v>
      </c>
      <c r="B145">
        <v>10506001054</v>
      </c>
      <c r="C145" t="s">
        <v>248</v>
      </c>
      <c r="D145" s="29" t="s">
        <v>249</v>
      </c>
      <c r="E145" t="s">
        <v>250</v>
      </c>
      <c r="F145">
        <v>522</v>
      </c>
      <c r="G145">
        <v>262.23</v>
      </c>
      <c r="H145">
        <v>136884.06</v>
      </c>
    </row>
    <row r="146" spans="1:8" ht="48" hidden="1">
      <c r="A146">
        <v>137</v>
      </c>
      <c r="B146">
        <v>10506001055</v>
      </c>
      <c r="C146" t="s">
        <v>210</v>
      </c>
      <c r="D146" s="29" t="s">
        <v>251</v>
      </c>
      <c r="E146" t="s">
        <v>212</v>
      </c>
      <c r="F146">
        <v>1289</v>
      </c>
      <c r="G146">
        <v>10.19</v>
      </c>
      <c r="H146">
        <v>13134.91</v>
      </c>
    </row>
    <row r="147" spans="1:8" ht="48" hidden="1">
      <c r="A147">
        <v>138</v>
      </c>
      <c r="B147">
        <v>10506001056</v>
      </c>
      <c r="C147" t="s">
        <v>210</v>
      </c>
      <c r="D147" s="29" t="s">
        <v>252</v>
      </c>
      <c r="E147" t="s">
        <v>212</v>
      </c>
      <c r="F147">
        <v>1448</v>
      </c>
      <c r="G147">
        <v>12.23</v>
      </c>
      <c r="H147">
        <v>17709.04</v>
      </c>
    </row>
    <row r="148" spans="1:8" ht="48" hidden="1">
      <c r="A148">
        <v>139</v>
      </c>
      <c r="B148">
        <v>10506001057</v>
      </c>
      <c r="C148" t="s">
        <v>210</v>
      </c>
      <c r="D148" s="29" t="s">
        <v>253</v>
      </c>
      <c r="E148" t="s">
        <v>212</v>
      </c>
      <c r="F148">
        <v>3426</v>
      </c>
      <c r="G148">
        <v>12.57</v>
      </c>
      <c r="H148">
        <v>43064.82</v>
      </c>
    </row>
    <row r="149" spans="1:8" ht="48" hidden="1">
      <c r="A149">
        <v>140</v>
      </c>
      <c r="B149">
        <v>10506001058</v>
      </c>
      <c r="C149" t="s">
        <v>210</v>
      </c>
      <c r="D149" s="29" t="s">
        <v>254</v>
      </c>
      <c r="E149" t="s">
        <v>212</v>
      </c>
      <c r="F149">
        <v>31223</v>
      </c>
      <c r="G149">
        <v>13.14</v>
      </c>
      <c r="H149">
        <v>410270.22</v>
      </c>
    </row>
    <row r="150" spans="1:8" ht="48" hidden="1">
      <c r="A150">
        <v>141</v>
      </c>
      <c r="B150">
        <v>10506001059</v>
      </c>
      <c r="C150" t="s">
        <v>210</v>
      </c>
      <c r="D150" s="29" t="s">
        <v>255</v>
      </c>
      <c r="E150" t="s">
        <v>212</v>
      </c>
      <c r="F150">
        <v>7154</v>
      </c>
      <c r="G150">
        <v>15.54</v>
      </c>
      <c r="H150">
        <v>111173.16</v>
      </c>
    </row>
    <row r="151" spans="1:8" ht="48" hidden="1">
      <c r="A151">
        <v>142</v>
      </c>
      <c r="B151">
        <v>10506001060</v>
      </c>
      <c r="C151" t="s">
        <v>210</v>
      </c>
      <c r="D151" s="29" t="s">
        <v>256</v>
      </c>
      <c r="E151" t="s">
        <v>212</v>
      </c>
      <c r="F151">
        <v>2729</v>
      </c>
      <c r="G151">
        <v>16.22</v>
      </c>
      <c r="H151">
        <v>44264.38</v>
      </c>
    </row>
    <row r="152" spans="1:8" ht="48" hidden="1">
      <c r="A152">
        <v>143</v>
      </c>
      <c r="B152">
        <v>10506001061</v>
      </c>
      <c r="C152" t="s">
        <v>210</v>
      </c>
      <c r="D152" s="29" t="s">
        <v>257</v>
      </c>
      <c r="E152" t="s">
        <v>212</v>
      </c>
      <c r="F152">
        <v>2080</v>
      </c>
      <c r="G152">
        <v>20.21</v>
      </c>
      <c r="H152">
        <v>42036.800000000003</v>
      </c>
    </row>
    <row r="153" spans="1:8" ht="48" hidden="1">
      <c r="A153">
        <v>144</v>
      </c>
      <c r="B153">
        <v>10506001062</v>
      </c>
      <c r="C153" t="s">
        <v>210</v>
      </c>
      <c r="D153" s="29" t="s">
        <v>258</v>
      </c>
      <c r="E153" t="s">
        <v>212</v>
      </c>
      <c r="F153">
        <v>1303</v>
      </c>
      <c r="G153">
        <v>20.67</v>
      </c>
      <c r="H153">
        <v>26933.01</v>
      </c>
    </row>
    <row r="154" spans="1:8" ht="48" hidden="1">
      <c r="A154">
        <v>145</v>
      </c>
      <c r="B154">
        <v>10506001063</v>
      </c>
      <c r="C154" t="s">
        <v>210</v>
      </c>
      <c r="D154" s="29" t="s">
        <v>259</v>
      </c>
      <c r="E154" t="s">
        <v>212</v>
      </c>
      <c r="F154">
        <v>8</v>
      </c>
      <c r="G154">
        <v>21.13</v>
      </c>
      <c r="H154">
        <v>169.04</v>
      </c>
    </row>
    <row r="155" spans="1:8" hidden="1">
      <c r="A155" t="s">
        <v>53</v>
      </c>
      <c r="B155" t="s">
        <v>53</v>
      </c>
      <c r="C155" t="s">
        <v>22</v>
      </c>
      <c r="D155" s="29" t="s">
        <v>53</v>
      </c>
      <c r="E155" t="s">
        <v>53</v>
      </c>
      <c r="F155" t="s">
        <v>53</v>
      </c>
      <c r="G155" t="s">
        <v>53</v>
      </c>
      <c r="H155">
        <v>13035525.050000001</v>
      </c>
    </row>
    <row r="156" spans="1:8" hidden="1">
      <c r="A156" t="s">
        <v>53</v>
      </c>
      <c r="B156" t="s">
        <v>53</v>
      </c>
      <c r="C156" t="s">
        <v>260</v>
      </c>
      <c r="D156" s="29" t="s">
        <v>53</v>
      </c>
      <c r="E156" t="s">
        <v>53</v>
      </c>
      <c r="F156" t="s">
        <v>53</v>
      </c>
      <c r="G156" t="s">
        <v>53</v>
      </c>
      <c r="H156">
        <v>7036164.1299999999</v>
      </c>
    </row>
    <row r="157" spans="1:8" ht="72" hidden="1">
      <c r="A157">
        <v>146</v>
      </c>
      <c r="B157">
        <v>10603001001</v>
      </c>
      <c r="C157" t="s">
        <v>261</v>
      </c>
      <c r="D157" s="29" t="s">
        <v>262</v>
      </c>
      <c r="E157" t="s">
        <v>192</v>
      </c>
      <c r="F157">
        <v>2.64</v>
      </c>
      <c r="G157">
        <v>6034.87</v>
      </c>
      <c r="H157">
        <v>15932.06</v>
      </c>
    </row>
    <row r="158" spans="1:8" ht="72" hidden="1">
      <c r="A158">
        <v>147</v>
      </c>
      <c r="B158">
        <v>10604001001</v>
      </c>
      <c r="C158" t="s">
        <v>263</v>
      </c>
      <c r="D158" s="29" t="s">
        <v>264</v>
      </c>
      <c r="E158" t="s">
        <v>192</v>
      </c>
      <c r="F158">
        <v>178.88</v>
      </c>
      <c r="G158">
        <v>6308.4</v>
      </c>
      <c r="H158">
        <v>1128446.5900000001</v>
      </c>
    </row>
    <row r="159" spans="1:8" ht="84" hidden="1">
      <c r="A159">
        <v>148</v>
      </c>
      <c r="B159">
        <v>10607002001</v>
      </c>
      <c r="C159" t="s">
        <v>265</v>
      </c>
      <c r="D159" s="29" t="s">
        <v>266</v>
      </c>
      <c r="E159" t="s">
        <v>192</v>
      </c>
      <c r="F159">
        <v>258.55</v>
      </c>
      <c r="G159">
        <v>7684.23</v>
      </c>
      <c r="H159">
        <v>1986757.67</v>
      </c>
    </row>
    <row r="160" spans="1:8" ht="72" hidden="1">
      <c r="A160">
        <v>149</v>
      </c>
      <c r="B160">
        <v>10607002002</v>
      </c>
      <c r="C160" t="s">
        <v>267</v>
      </c>
      <c r="D160" s="29" t="s">
        <v>268</v>
      </c>
      <c r="E160" t="s">
        <v>192</v>
      </c>
      <c r="F160">
        <v>5.34</v>
      </c>
      <c r="G160">
        <v>7786.44</v>
      </c>
      <c r="H160">
        <v>41579.589999999997</v>
      </c>
    </row>
    <row r="161" spans="1:8" ht="72" hidden="1">
      <c r="A161">
        <v>150</v>
      </c>
      <c r="B161">
        <v>10607003001</v>
      </c>
      <c r="C161" t="s">
        <v>269</v>
      </c>
      <c r="D161" s="29" t="s">
        <v>270</v>
      </c>
      <c r="E161" t="s">
        <v>192</v>
      </c>
      <c r="F161">
        <v>101.35</v>
      </c>
      <c r="G161">
        <v>7994.29</v>
      </c>
      <c r="H161">
        <v>810221.29</v>
      </c>
    </row>
    <row r="162" spans="1:8" ht="24" hidden="1">
      <c r="A162">
        <v>151</v>
      </c>
      <c r="B162">
        <v>11502001001</v>
      </c>
      <c r="C162" t="s">
        <v>271</v>
      </c>
      <c r="D162" s="29" t="s">
        <v>272</v>
      </c>
      <c r="E162" t="s">
        <v>273</v>
      </c>
      <c r="F162">
        <v>332.8</v>
      </c>
      <c r="G162">
        <v>9.08</v>
      </c>
      <c r="H162">
        <v>3021.82</v>
      </c>
    </row>
    <row r="163" spans="1:8" ht="24" hidden="1">
      <c r="A163">
        <v>152</v>
      </c>
      <c r="B163">
        <v>10605003001</v>
      </c>
      <c r="C163" t="s">
        <v>274</v>
      </c>
      <c r="D163" s="29" t="s">
        <v>275</v>
      </c>
      <c r="E163" t="s">
        <v>94</v>
      </c>
      <c r="F163">
        <v>54</v>
      </c>
      <c r="G163">
        <v>96.38</v>
      </c>
      <c r="H163">
        <v>5204.5200000000004</v>
      </c>
    </row>
    <row r="164" spans="1:8" ht="24" hidden="1">
      <c r="A164">
        <v>153</v>
      </c>
      <c r="B164">
        <v>10605003002</v>
      </c>
      <c r="C164" t="s">
        <v>276</v>
      </c>
      <c r="D164" s="29" t="s">
        <v>277</v>
      </c>
      <c r="E164" t="s">
        <v>94</v>
      </c>
      <c r="F164">
        <v>36</v>
      </c>
      <c r="G164">
        <v>96.61</v>
      </c>
      <c r="H164">
        <v>3477.96</v>
      </c>
    </row>
    <row r="165" spans="1:8" ht="24" hidden="1">
      <c r="A165">
        <v>154</v>
      </c>
      <c r="B165">
        <v>10605003003</v>
      </c>
      <c r="C165" t="s">
        <v>278</v>
      </c>
      <c r="D165" s="29" t="s">
        <v>279</v>
      </c>
      <c r="E165" t="s">
        <v>94</v>
      </c>
      <c r="F165">
        <v>43</v>
      </c>
      <c r="G165">
        <v>162.41</v>
      </c>
      <c r="H165">
        <v>6983.63</v>
      </c>
    </row>
    <row r="166" spans="1:8" ht="60" hidden="1">
      <c r="A166">
        <v>155</v>
      </c>
      <c r="B166">
        <v>10901007001</v>
      </c>
      <c r="C166" t="s">
        <v>280</v>
      </c>
      <c r="D166" s="29" t="s">
        <v>281</v>
      </c>
      <c r="E166" t="s">
        <v>273</v>
      </c>
      <c r="F166">
        <v>295.7</v>
      </c>
      <c r="G166">
        <v>461.5</v>
      </c>
      <c r="H166">
        <v>136465.54999999999</v>
      </c>
    </row>
    <row r="167" spans="1:8" ht="60" hidden="1">
      <c r="A167">
        <v>156</v>
      </c>
      <c r="B167">
        <v>10901007002</v>
      </c>
      <c r="C167" t="s">
        <v>282</v>
      </c>
      <c r="D167" s="29" t="s">
        <v>283</v>
      </c>
      <c r="E167" t="s">
        <v>273</v>
      </c>
      <c r="F167">
        <v>648.4</v>
      </c>
      <c r="G167">
        <v>1421.43</v>
      </c>
      <c r="H167">
        <v>921655.21</v>
      </c>
    </row>
    <row r="168" spans="1:8" ht="84" hidden="1">
      <c r="A168">
        <v>157</v>
      </c>
      <c r="B168">
        <v>11402003001</v>
      </c>
      <c r="C168" t="s">
        <v>284</v>
      </c>
      <c r="D168" s="29" t="s">
        <v>285</v>
      </c>
      <c r="E168" t="s">
        <v>94</v>
      </c>
      <c r="F168">
        <v>4667.96</v>
      </c>
      <c r="G168">
        <v>42.98</v>
      </c>
      <c r="H168">
        <v>200628.92</v>
      </c>
    </row>
    <row r="169" spans="1:8" ht="60" hidden="1">
      <c r="A169">
        <v>158</v>
      </c>
      <c r="B169">
        <v>11402003002</v>
      </c>
      <c r="C169" t="s">
        <v>286</v>
      </c>
      <c r="D169" s="29" t="s">
        <v>287</v>
      </c>
      <c r="E169" t="s">
        <v>94</v>
      </c>
      <c r="F169">
        <v>53.4</v>
      </c>
      <c r="G169">
        <v>16.239999999999998</v>
      </c>
      <c r="H169">
        <v>867.22</v>
      </c>
    </row>
    <row r="170" spans="1:8" ht="36" hidden="1">
      <c r="A170">
        <v>159</v>
      </c>
      <c r="B170">
        <v>10605003004</v>
      </c>
      <c r="C170" t="s">
        <v>288</v>
      </c>
      <c r="D170" s="29" t="s">
        <v>289</v>
      </c>
      <c r="E170" t="s">
        <v>94</v>
      </c>
      <c r="F170">
        <v>2454.31</v>
      </c>
      <c r="G170">
        <v>74.5</v>
      </c>
      <c r="H170">
        <v>182846.1</v>
      </c>
    </row>
    <row r="171" spans="1:8" ht="36" hidden="1">
      <c r="A171">
        <v>160</v>
      </c>
      <c r="B171">
        <v>10605003005</v>
      </c>
      <c r="C171" t="s">
        <v>290</v>
      </c>
      <c r="D171" s="29" t="s">
        <v>291</v>
      </c>
      <c r="E171" t="s">
        <v>94</v>
      </c>
      <c r="F171">
        <v>2454.31</v>
      </c>
      <c r="G171">
        <v>67.760000000000005</v>
      </c>
      <c r="H171">
        <v>166304.04999999999</v>
      </c>
    </row>
    <row r="172" spans="1:8" ht="36" hidden="1">
      <c r="A172">
        <v>161</v>
      </c>
      <c r="B172">
        <v>11402003003</v>
      </c>
      <c r="C172" t="s">
        <v>292</v>
      </c>
      <c r="D172" s="29" t="s">
        <v>293</v>
      </c>
      <c r="E172" t="s">
        <v>94</v>
      </c>
      <c r="F172">
        <v>5146.57</v>
      </c>
      <c r="G172">
        <v>57.34</v>
      </c>
      <c r="H172">
        <v>295104.32</v>
      </c>
    </row>
    <row r="173" spans="1:8" ht="36" hidden="1">
      <c r="A173">
        <v>162</v>
      </c>
      <c r="B173">
        <v>11402003004</v>
      </c>
      <c r="C173" t="s">
        <v>292</v>
      </c>
      <c r="D173" s="29" t="s">
        <v>294</v>
      </c>
      <c r="E173" t="s">
        <v>94</v>
      </c>
      <c r="F173">
        <v>12965.95</v>
      </c>
      <c r="G173">
        <v>85.64</v>
      </c>
      <c r="H173">
        <v>1110403.96</v>
      </c>
    </row>
    <row r="174" spans="1:8" ht="36" hidden="1">
      <c r="A174">
        <v>163</v>
      </c>
      <c r="B174">
        <v>10301003001</v>
      </c>
      <c r="C174" t="s">
        <v>295</v>
      </c>
      <c r="D174" s="29" t="s">
        <v>296</v>
      </c>
      <c r="E174" t="s">
        <v>79</v>
      </c>
      <c r="F174">
        <v>12</v>
      </c>
      <c r="G174">
        <v>895.17</v>
      </c>
      <c r="H174">
        <v>10742.04</v>
      </c>
    </row>
    <row r="175" spans="1:8" ht="24" hidden="1">
      <c r="A175">
        <v>164</v>
      </c>
      <c r="B175">
        <v>11205001001</v>
      </c>
      <c r="C175" t="s">
        <v>297</v>
      </c>
      <c r="D175" s="29" t="s">
        <v>298</v>
      </c>
      <c r="E175" t="s">
        <v>94</v>
      </c>
      <c r="F175">
        <v>21</v>
      </c>
      <c r="G175">
        <v>38.01</v>
      </c>
      <c r="H175">
        <v>798.21</v>
      </c>
    </row>
    <row r="176" spans="1:8" ht="24" hidden="1">
      <c r="A176">
        <v>165</v>
      </c>
      <c r="B176">
        <v>10506024001</v>
      </c>
      <c r="C176" t="s">
        <v>299</v>
      </c>
      <c r="D176" s="29" t="s">
        <v>300</v>
      </c>
      <c r="E176" t="s">
        <v>250</v>
      </c>
      <c r="F176">
        <v>1</v>
      </c>
      <c r="G176">
        <v>6.29</v>
      </c>
      <c r="H176">
        <v>6.29</v>
      </c>
    </row>
    <row r="177" spans="1:8" ht="24" hidden="1">
      <c r="A177">
        <v>166</v>
      </c>
      <c r="B177">
        <v>10506024002</v>
      </c>
      <c r="C177" t="s">
        <v>299</v>
      </c>
      <c r="D177" s="29" t="s">
        <v>301</v>
      </c>
      <c r="E177" t="s">
        <v>250</v>
      </c>
      <c r="F177">
        <v>1</v>
      </c>
      <c r="G177">
        <v>6.61</v>
      </c>
      <c r="H177">
        <v>6.61</v>
      </c>
    </row>
    <row r="178" spans="1:8" ht="24" hidden="1">
      <c r="A178">
        <v>167</v>
      </c>
      <c r="B178">
        <v>10506024003</v>
      </c>
      <c r="C178" t="s">
        <v>299</v>
      </c>
      <c r="D178" s="29" t="s">
        <v>302</v>
      </c>
      <c r="E178" t="s">
        <v>250</v>
      </c>
      <c r="F178">
        <v>260</v>
      </c>
      <c r="G178">
        <v>8.6999999999999993</v>
      </c>
      <c r="H178">
        <v>2262</v>
      </c>
    </row>
    <row r="179" spans="1:8" ht="24" hidden="1">
      <c r="A179">
        <v>168</v>
      </c>
      <c r="B179">
        <v>10506024004</v>
      </c>
      <c r="C179" t="s">
        <v>299</v>
      </c>
      <c r="D179" s="29" t="s">
        <v>303</v>
      </c>
      <c r="E179" t="s">
        <v>250</v>
      </c>
      <c r="F179">
        <v>300</v>
      </c>
      <c r="G179">
        <v>9.69</v>
      </c>
      <c r="H179">
        <v>2907</v>
      </c>
    </row>
    <row r="180" spans="1:8" ht="24" hidden="1">
      <c r="A180">
        <v>169</v>
      </c>
      <c r="B180">
        <v>10506024005</v>
      </c>
      <c r="C180" t="s">
        <v>299</v>
      </c>
      <c r="D180" s="29" t="s">
        <v>304</v>
      </c>
      <c r="E180" t="s">
        <v>250</v>
      </c>
      <c r="F180">
        <v>96</v>
      </c>
      <c r="G180">
        <v>10.69</v>
      </c>
      <c r="H180">
        <v>1026.24</v>
      </c>
    </row>
    <row r="181" spans="1:8" ht="24" hidden="1">
      <c r="A181">
        <v>170</v>
      </c>
      <c r="B181">
        <v>10506024006</v>
      </c>
      <c r="C181" t="s">
        <v>299</v>
      </c>
      <c r="D181" s="29" t="s">
        <v>305</v>
      </c>
      <c r="E181" t="s">
        <v>250</v>
      </c>
      <c r="F181">
        <v>184</v>
      </c>
      <c r="G181">
        <v>13.67</v>
      </c>
      <c r="H181">
        <v>2515.2800000000002</v>
      </c>
    </row>
    <row r="182" spans="1:8" hidden="1">
      <c r="A182" t="s">
        <v>53</v>
      </c>
      <c r="B182" t="s">
        <v>53</v>
      </c>
      <c r="C182" t="s">
        <v>306</v>
      </c>
      <c r="D182" s="29" t="s">
        <v>53</v>
      </c>
      <c r="E182" t="s">
        <v>53</v>
      </c>
      <c r="F182" t="s">
        <v>53</v>
      </c>
      <c r="G182" t="s">
        <v>53</v>
      </c>
      <c r="H182">
        <v>5999360.9199999999</v>
      </c>
    </row>
    <row r="183" spans="1:8" ht="72" hidden="1">
      <c r="A183">
        <v>171</v>
      </c>
      <c r="B183">
        <v>10603001002</v>
      </c>
      <c r="C183" t="s">
        <v>261</v>
      </c>
      <c r="D183" s="29" t="s">
        <v>307</v>
      </c>
      <c r="E183" t="s">
        <v>192</v>
      </c>
      <c r="F183">
        <v>370.52</v>
      </c>
      <c r="G183">
        <v>7293.88</v>
      </c>
      <c r="H183">
        <v>2702528.42</v>
      </c>
    </row>
    <row r="184" spans="1:8" ht="60" hidden="1">
      <c r="A184">
        <v>172</v>
      </c>
      <c r="B184">
        <v>10607002003</v>
      </c>
      <c r="C184" t="s">
        <v>265</v>
      </c>
      <c r="D184" s="29" t="s">
        <v>308</v>
      </c>
      <c r="E184" t="s">
        <v>192</v>
      </c>
      <c r="F184">
        <v>11.16</v>
      </c>
      <c r="G184">
        <v>7684.23</v>
      </c>
      <c r="H184">
        <v>85756.01</v>
      </c>
    </row>
    <row r="185" spans="1:8" ht="72" hidden="1">
      <c r="A185">
        <v>173</v>
      </c>
      <c r="B185">
        <v>10607003002</v>
      </c>
      <c r="C185" t="s">
        <v>269</v>
      </c>
      <c r="D185" s="29" t="s">
        <v>309</v>
      </c>
      <c r="E185" t="s">
        <v>192</v>
      </c>
      <c r="F185">
        <v>342.72</v>
      </c>
      <c r="G185">
        <v>7994.29</v>
      </c>
      <c r="H185">
        <v>2739803.07</v>
      </c>
    </row>
    <row r="186" spans="1:8" ht="36" hidden="1">
      <c r="A186">
        <v>174</v>
      </c>
      <c r="B186">
        <v>11402003005</v>
      </c>
      <c r="C186" t="s">
        <v>292</v>
      </c>
      <c r="D186" s="29" t="s">
        <v>310</v>
      </c>
      <c r="E186" t="s">
        <v>94</v>
      </c>
      <c r="F186">
        <v>492.32</v>
      </c>
      <c r="G186">
        <v>30.74</v>
      </c>
      <c r="H186">
        <v>15133.92</v>
      </c>
    </row>
    <row r="187" spans="1:8" ht="36" hidden="1">
      <c r="A187">
        <v>175</v>
      </c>
      <c r="B187">
        <v>11402003006</v>
      </c>
      <c r="C187" t="s">
        <v>292</v>
      </c>
      <c r="D187" s="29" t="s">
        <v>294</v>
      </c>
      <c r="E187" t="s">
        <v>94</v>
      </c>
      <c r="F187">
        <v>5305.34</v>
      </c>
      <c r="G187">
        <v>85.64</v>
      </c>
      <c r="H187">
        <v>454349.32</v>
      </c>
    </row>
    <row r="188" spans="1:8" ht="48" hidden="1">
      <c r="A188">
        <v>176</v>
      </c>
      <c r="B188">
        <v>10506024007</v>
      </c>
      <c r="C188" t="s">
        <v>311</v>
      </c>
      <c r="D188" s="29" t="s">
        <v>312</v>
      </c>
      <c r="E188" t="s">
        <v>250</v>
      </c>
      <c r="F188">
        <v>1</v>
      </c>
      <c r="G188">
        <v>16.100000000000001</v>
      </c>
      <c r="H188">
        <v>16.100000000000001</v>
      </c>
    </row>
    <row r="189" spans="1:8" ht="24" hidden="1">
      <c r="A189">
        <v>177</v>
      </c>
      <c r="B189">
        <v>10506024008</v>
      </c>
      <c r="C189" t="s">
        <v>299</v>
      </c>
      <c r="D189" s="29" t="s">
        <v>300</v>
      </c>
      <c r="E189" t="s">
        <v>250</v>
      </c>
      <c r="F189">
        <v>128</v>
      </c>
      <c r="G189">
        <v>6.29</v>
      </c>
      <c r="H189">
        <v>805.12</v>
      </c>
    </row>
    <row r="190" spans="1:8" ht="24" hidden="1">
      <c r="A190">
        <v>178</v>
      </c>
      <c r="B190">
        <v>10506024009</v>
      </c>
      <c r="C190" t="s">
        <v>299</v>
      </c>
      <c r="D190" s="29" t="s">
        <v>313</v>
      </c>
      <c r="E190" t="s">
        <v>250</v>
      </c>
      <c r="F190">
        <v>128</v>
      </c>
      <c r="G190">
        <v>7.57</v>
      </c>
      <c r="H190">
        <v>968.96</v>
      </c>
    </row>
    <row r="191" spans="1:8" hidden="1">
      <c r="A191" t="s">
        <v>53</v>
      </c>
      <c r="B191" t="s">
        <v>53</v>
      </c>
      <c r="C191" t="s">
        <v>25</v>
      </c>
      <c r="D191" s="29" t="s">
        <v>53</v>
      </c>
      <c r="E191" t="s">
        <v>53</v>
      </c>
      <c r="F191" t="s">
        <v>53</v>
      </c>
      <c r="G191" t="s">
        <v>53</v>
      </c>
      <c r="H191">
        <v>2931317.68</v>
      </c>
    </row>
    <row r="192" spans="1:8" hidden="1">
      <c r="A192" t="s">
        <v>53</v>
      </c>
      <c r="B192" t="s">
        <v>53</v>
      </c>
      <c r="C192" t="s">
        <v>314</v>
      </c>
      <c r="D192" s="29" t="s">
        <v>53</v>
      </c>
      <c r="E192" t="s">
        <v>53</v>
      </c>
      <c r="F192" t="s">
        <v>53</v>
      </c>
      <c r="G192" t="s">
        <v>53</v>
      </c>
      <c r="H192">
        <v>89310.91</v>
      </c>
    </row>
    <row r="193" spans="1:8" ht="84" hidden="1">
      <c r="A193">
        <v>179</v>
      </c>
      <c r="B193">
        <v>10902002001</v>
      </c>
      <c r="C193" t="s">
        <v>315</v>
      </c>
      <c r="D193" s="29" t="s">
        <v>316</v>
      </c>
      <c r="E193" t="s">
        <v>94</v>
      </c>
      <c r="F193">
        <v>426.08</v>
      </c>
      <c r="G193">
        <v>37.869999999999997</v>
      </c>
      <c r="H193">
        <v>16135.65</v>
      </c>
    </row>
    <row r="194" spans="1:8" ht="60" hidden="1">
      <c r="A194">
        <v>180</v>
      </c>
      <c r="B194">
        <v>10902001001</v>
      </c>
      <c r="C194" t="s">
        <v>317</v>
      </c>
      <c r="D194" s="29" t="s">
        <v>318</v>
      </c>
      <c r="E194" t="s">
        <v>94</v>
      </c>
      <c r="F194">
        <v>426.08</v>
      </c>
      <c r="G194">
        <v>67.069999999999993</v>
      </c>
      <c r="H194">
        <v>28577.19</v>
      </c>
    </row>
    <row r="195" spans="1:8" ht="48" hidden="1">
      <c r="A195">
        <v>181</v>
      </c>
      <c r="B195">
        <v>11001001001</v>
      </c>
      <c r="C195" t="s">
        <v>319</v>
      </c>
      <c r="D195" s="29" t="s">
        <v>320</v>
      </c>
      <c r="E195" t="s">
        <v>94</v>
      </c>
      <c r="F195">
        <v>411.08</v>
      </c>
      <c r="G195">
        <v>44.38</v>
      </c>
      <c r="H195">
        <v>18243.73</v>
      </c>
    </row>
    <row r="196" spans="1:8" ht="36" hidden="1">
      <c r="A196">
        <v>182</v>
      </c>
      <c r="B196">
        <v>11003001001</v>
      </c>
      <c r="C196" t="s">
        <v>321</v>
      </c>
      <c r="D196" s="29" t="s">
        <v>322</v>
      </c>
      <c r="E196" t="s">
        <v>94</v>
      </c>
      <c r="F196">
        <v>411.08</v>
      </c>
      <c r="G196">
        <v>4.9800000000000004</v>
      </c>
      <c r="H196">
        <v>2047.18</v>
      </c>
    </row>
    <row r="197" spans="1:8" ht="84" hidden="1">
      <c r="A197">
        <v>183</v>
      </c>
      <c r="B197">
        <v>10902004001</v>
      </c>
      <c r="C197" t="s">
        <v>323</v>
      </c>
      <c r="D197" s="29" t="s">
        <v>324</v>
      </c>
      <c r="E197" t="s">
        <v>94</v>
      </c>
      <c r="F197">
        <v>411.08</v>
      </c>
      <c r="G197">
        <v>59.13</v>
      </c>
      <c r="H197">
        <v>24307.16</v>
      </c>
    </row>
    <row r="198" spans="1:8" hidden="1">
      <c r="A198" t="s">
        <v>53</v>
      </c>
      <c r="B198" t="s">
        <v>53</v>
      </c>
      <c r="C198" t="s">
        <v>325</v>
      </c>
      <c r="D198" s="29" t="s">
        <v>53</v>
      </c>
      <c r="E198" t="s">
        <v>53</v>
      </c>
      <c r="F198" t="s">
        <v>53</v>
      </c>
      <c r="G198" t="s">
        <v>53</v>
      </c>
      <c r="H198">
        <v>2726971.5</v>
      </c>
    </row>
    <row r="199" spans="1:8" ht="72" hidden="1">
      <c r="A199">
        <v>184</v>
      </c>
      <c r="B199">
        <v>10605003006</v>
      </c>
      <c r="C199" t="s">
        <v>326</v>
      </c>
      <c r="D199" s="29" t="s">
        <v>327</v>
      </c>
      <c r="E199" t="s">
        <v>94</v>
      </c>
      <c r="F199">
        <v>9570</v>
      </c>
      <c r="G199">
        <v>257.45</v>
      </c>
      <c r="H199">
        <v>2463796.5</v>
      </c>
    </row>
    <row r="200" spans="1:8" ht="48" hidden="1">
      <c r="A200">
        <v>185</v>
      </c>
      <c r="B200">
        <v>10506001064</v>
      </c>
      <c r="C200" t="s">
        <v>328</v>
      </c>
      <c r="D200" s="29" t="s">
        <v>329</v>
      </c>
      <c r="E200" t="s">
        <v>273</v>
      </c>
      <c r="F200">
        <v>95700</v>
      </c>
      <c r="G200">
        <v>2.75</v>
      </c>
      <c r="H200">
        <v>263175</v>
      </c>
    </row>
    <row r="201" spans="1:8" hidden="1">
      <c r="A201" t="s">
        <v>53</v>
      </c>
      <c r="B201" t="s">
        <v>53</v>
      </c>
      <c r="C201" t="s">
        <v>330</v>
      </c>
      <c r="D201" s="29" t="s">
        <v>53</v>
      </c>
      <c r="E201" t="s">
        <v>53</v>
      </c>
      <c r="F201" t="s">
        <v>53</v>
      </c>
      <c r="G201" t="s">
        <v>53</v>
      </c>
      <c r="H201">
        <v>538.77</v>
      </c>
    </row>
    <row r="202" spans="1:8" ht="48" hidden="1">
      <c r="A202">
        <v>186</v>
      </c>
      <c r="B202">
        <v>10904001001</v>
      </c>
      <c r="C202" t="s">
        <v>331</v>
      </c>
      <c r="D202" s="29" t="s">
        <v>332</v>
      </c>
      <c r="E202" t="s">
        <v>94</v>
      </c>
      <c r="F202">
        <v>6.76</v>
      </c>
      <c r="G202">
        <v>79.7</v>
      </c>
      <c r="H202">
        <v>538.77</v>
      </c>
    </row>
    <row r="203" spans="1:8" hidden="1">
      <c r="A203" t="s">
        <v>53</v>
      </c>
      <c r="B203" t="s">
        <v>53</v>
      </c>
      <c r="C203" t="s">
        <v>333</v>
      </c>
      <c r="D203" s="29" t="s">
        <v>53</v>
      </c>
      <c r="E203" t="s">
        <v>53</v>
      </c>
      <c r="F203" t="s">
        <v>53</v>
      </c>
      <c r="G203" t="s">
        <v>53</v>
      </c>
      <c r="H203">
        <v>2482.6799999999998</v>
      </c>
    </row>
    <row r="204" spans="1:8" ht="60" hidden="1">
      <c r="A204">
        <v>187</v>
      </c>
      <c r="B204">
        <v>10903001001</v>
      </c>
      <c r="C204" t="s">
        <v>334</v>
      </c>
      <c r="D204" s="29" t="s">
        <v>335</v>
      </c>
      <c r="E204" t="s">
        <v>94</v>
      </c>
      <c r="F204">
        <v>20.8</v>
      </c>
      <c r="G204">
        <v>69.98</v>
      </c>
      <c r="H204">
        <v>1455.58</v>
      </c>
    </row>
    <row r="205" spans="1:8" ht="36" hidden="1">
      <c r="A205">
        <v>188</v>
      </c>
      <c r="B205">
        <v>11001003001</v>
      </c>
      <c r="C205" t="s">
        <v>336</v>
      </c>
      <c r="D205" s="29" t="s">
        <v>337</v>
      </c>
      <c r="E205" t="s">
        <v>94</v>
      </c>
      <c r="F205">
        <v>20.8</v>
      </c>
      <c r="G205">
        <v>49.38</v>
      </c>
      <c r="H205">
        <v>1027.0999999999999</v>
      </c>
    </row>
    <row r="206" spans="1:8" hidden="1">
      <c r="A206" t="s">
        <v>53</v>
      </c>
      <c r="B206" t="s">
        <v>53</v>
      </c>
      <c r="C206" t="s">
        <v>338</v>
      </c>
      <c r="D206" s="29" t="s">
        <v>53</v>
      </c>
      <c r="E206" t="s">
        <v>53</v>
      </c>
      <c r="F206" t="s">
        <v>53</v>
      </c>
      <c r="G206" t="s">
        <v>53</v>
      </c>
      <c r="H206">
        <v>112013.82</v>
      </c>
    </row>
    <row r="207" spans="1:8" ht="36" hidden="1">
      <c r="A207">
        <v>189</v>
      </c>
      <c r="B207">
        <v>11101001001</v>
      </c>
      <c r="C207" t="s">
        <v>339</v>
      </c>
      <c r="D207" s="29" t="s">
        <v>340</v>
      </c>
      <c r="E207" t="s">
        <v>94</v>
      </c>
      <c r="F207">
        <v>543.89</v>
      </c>
      <c r="G207">
        <v>13.21</v>
      </c>
      <c r="H207">
        <v>7184.79</v>
      </c>
    </row>
    <row r="208" spans="1:8" ht="36" hidden="1">
      <c r="A208">
        <v>190</v>
      </c>
      <c r="B208">
        <v>10904002001</v>
      </c>
      <c r="C208" t="s">
        <v>341</v>
      </c>
      <c r="D208" s="29" t="s">
        <v>342</v>
      </c>
      <c r="E208" t="s">
        <v>94</v>
      </c>
      <c r="F208">
        <v>558.89</v>
      </c>
      <c r="G208">
        <v>34.18</v>
      </c>
      <c r="H208">
        <v>19102.86</v>
      </c>
    </row>
    <row r="209" spans="1:8" ht="36" hidden="1">
      <c r="A209">
        <v>191</v>
      </c>
      <c r="B209">
        <v>10904003001</v>
      </c>
      <c r="C209" t="s">
        <v>343</v>
      </c>
      <c r="D209" s="29" t="s">
        <v>344</v>
      </c>
      <c r="E209" t="s">
        <v>94</v>
      </c>
      <c r="F209">
        <v>558.89</v>
      </c>
      <c r="G209">
        <v>20.89</v>
      </c>
      <c r="H209">
        <v>11675.21</v>
      </c>
    </row>
    <row r="210" spans="1:8" ht="36" hidden="1">
      <c r="A210">
        <v>192</v>
      </c>
      <c r="B210">
        <v>11201001001</v>
      </c>
      <c r="C210" t="s">
        <v>345</v>
      </c>
      <c r="D210" s="29" t="s">
        <v>340</v>
      </c>
      <c r="E210" t="s">
        <v>94</v>
      </c>
      <c r="F210">
        <v>785.27</v>
      </c>
      <c r="G210">
        <v>18.829999999999998</v>
      </c>
      <c r="H210">
        <v>14786.63</v>
      </c>
    </row>
    <row r="211" spans="1:8" ht="36" hidden="1">
      <c r="A211">
        <v>193</v>
      </c>
      <c r="B211">
        <v>10903002001</v>
      </c>
      <c r="C211" t="s">
        <v>346</v>
      </c>
      <c r="D211" s="29" t="s">
        <v>342</v>
      </c>
      <c r="E211" t="s">
        <v>94</v>
      </c>
      <c r="F211">
        <v>785.27</v>
      </c>
      <c r="G211">
        <v>38.25</v>
      </c>
      <c r="H211">
        <v>30036.58</v>
      </c>
    </row>
    <row r="212" spans="1:8" ht="36" hidden="1">
      <c r="A212">
        <v>194</v>
      </c>
      <c r="B212">
        <v>10903003001</v>
      </c>
      <c r="C212" t="s">
        <v>347</v>
      </c>
      <c r="D212" s="29" t="s">
        <v>344</v>
      </c>
      <c r="E212" t="s">
        <v>94</v>
      </c>
      <c r="F212">
        <v>785.27</v>
      </c>
      <c r="G212">
        <v>37.22</v>
      </c>
      <c r="H212">
        <v>29227.75</v>
      </c>
    </row>
    <row r="213" spans="1:8" hidden="1">
      <c r="A213" t="s">
        <v>53</v>
      </c>
      <c r="B213" t="s">
        <v>53</v>
      </c>
      <c r="C213" t="s">
        <v>28</v>
      </c>
      <c r="D213" s="29" t="s">
        <v>53</v>
      </c>
      <c r="E213" t="s">
        <v>53</v>
      </c>
      <c r="F213" t="s">
        <v>53</v>
      </c>
      <c r="G213" t="s">
        <v>53</v>
      </c>
      <c r="H213">
        <v>5531685.29</v>
      </c>
    </row>
    <row r="214" spans="1:8" hidden="1">
      <c r="A214" t="s">
        <v>53</v>
      </c>
      <c r="B214" t="s">
        <v>53</v>
      </c>
      <c r="C214" t="s">
        <v>348</v>
      </c>
      <c r="D214" s="29" t="s">
        <v>53</v>
      </c>
      <c r="E214" t="s">
        <v>53</v>
      </c>
      <c r="F214" t="s">
        <v>53</v>
      </c>
      <c r="G214" t="s">
        <v>53</v>
      </c>
      <c r="H214">
        <v>150819.73000000001</v>
      </c>
    </row>
    <row r="215" spans="1:8" ht="48" hidden="1">
      <c r="A215">
        <v>195</v>
      </c>
      <c r="B215">
        <v>10501001002</v>
      </c>
      <c r="C215" t="s">
        <v>349</v>
      </c>
      <c r="D215" s="29" t="s">
        <v>350</v>
      </c>
      <c r="E215" t="s">
        <v>94</v>
      </c>
      <c r="F215">
        <v>614.54999999999995</v>
      </c>
      <c r="G215">
        <v>47.29</v>
      </c>
      <c r="H215">
        <v>29062.07</v>
      </c>
    </row>
    <row r="216" spans="1:8" ht="72" hidden="1">
      <c r="A216">
        <v>196</v>
      </c>
      <c r="B216">
        <v>11102003001</v>
      </c>
      <c r="C216" t="s">
        <v>351</v>
      </c>
      <c r="D216" s="29" t="s">
        <v>352</v>
      </c>
      <c r="E216" t="s">
        <v>94</v>
      </c>
      <c r="F216">
        <v>901.91</v>
      </c>
      <c r="G216">
        <v>93.69</v>
      </c>
      <c r="H216">
        <v>84499.95</v>
      </c>
    </row>
    <row r="217" spans="1:8" ht="72" hidden="1">
      <c r="A217">
        <v>197</v>
      </c>
      <c r="B217">
        <v>11102003002</v>
      </c>
      <c r="C217" t="s">
        <v>353</v>
      </c>
      <c r="D217" s="29" t="s">
        <v>354</v>
      </c>
      <c r="E217" t="s">
        <v>94</v>
      </c>
      <c r="F217">
        <v>122.91</v>
      </c>
      <c r="G217">
        <v>91.54</v>
      </c>
      <c r="H217">
        <v>11251.18</v>
      </c>
    </row>
    <row r="218" spans="1:8" ht="72" hidden="1">
      <c r="A218">
        <v>198</v>
      </c>
      <c r="B218">
        <v>11106003001</v>
      </c>
      <c r="C218" t="s">
        <v>355</v>
      </c>
      <c r="D218" s="29" t="s">
        <v>354</v>
      </c>
      <c r="E218" t="s">
        <v>94</v>
      </c>
      <c r="F218">
        <v>122.91</v>
      </c>
      <c r="G218">
        <v>211.59</v>
      </c>
      <c r="H218">
        <v>26006.53</v>
      </c>
    </row>
    <row r="219" spans="1:8" hidden="1">
      <c r="A219" t="s">
        <v>53</v>
      </c>
      <c r="B219" t="s">
        <v>53</v>
      </c>
      <c r="C219" t="s">
        <v>356</v>
      </c>
      <c r="D219" s="29" t="s">
        <v>53</v>
      </c>
      <c r="E219" t="s">
        <v>53</v>
      </c>
      <c r="F219" t="s">
        <v>53</v>
      </c>
      <c r="G219" t="s">
        <v>53</v>
      </c>
      <c r="H219">
        <v>52740.95</v>
      </c>
    </row>
    <row r="220" spans="1:8" ht="60" hidden="1">
      <c r="A220">
        <v>199</v>
      </c>
      <c r="B220">
        <v>11101002001</v>
      </c>
      <c r="C220" t="s">
        <v>357</v>
      </c>
      <c r="D220" s="29" t="s">
        <v>358</v>
      </c>
      <c r="E220" t="s">
        <v>94</v>
      </c>
      <c r="F220">
        <v>143.62</v>
      </c>
      <c r="G220">
        <v>34.26</v>
      </c>
      <c r="H220">
        <v>4920.42</v>
      </c>
    </row>
    <row r="221" spans="1:8" ht="72" hidden="1">
      <c r="A221">
        <v>200</v>
      </c>
      <c r="B221">
        <v>10904002002</v>
      </c>
      <c r="C221" t="s">
        <v>359</v>
      </c>
      <c r="D221" s="29" t="s">
        <v>360</v>
      </c>
      <c r="E221" t="s">
        <v>94</v>
      </c>
      <c r="F221">
        <v>143.62</v>
      </c>
      <c r="G221">
        <v>32.18</v>
      </c>
      <c r="H221">
        <v>4621.6899999999996</v>
      </c>
    </row>
    <row r="222" spans="1:8" ht="36" hidden="1">
      <c r="A222">
        <v>201</v>
      </c>
      <c r="B222">
        <v>11101001002</v>
      </c>
      <c r="C222" t="s">
        <v>361</v>
      </c>
      <c r="D222" s="29" t="s">
        <v>362</v>
      </c>
      <c r="E222" t="s">
        <v>94</v>
      </c>
      <c r="F222">
        <v>143.62</v>
      </c>
      <c r="G222">
        <v>13.1</v>
      </c>
      <c r="H222">
        <v>1881.42</v>
      </c>
    </row>
    <row r="223" spans="1:8" ht="36" hidden="1">
      <c r="A223">
        <v>202</v>
      </c>
      <c r="B223">
        <v>11201001002</v>
      </c>
      <c r="C223" t="s">
        <v>363</v>
      </c>
      <c r="D223" s="29" t="s">
        <v>364</v>
      </c>
      <c r="E223" t="s">
        <v>94</v>
      </c>
      <c r="F223">
        <v>99.2</v>
      </c>
      <c r="G223">
        <v>14.02</v>
      </c>
      <c r="H223">
        <v>1390.78</v>
      </c>
    </row>
    <row r="224" spans="1:8" ht="48" hidden="1">
      <c r="A224">
        <v>203</v>
      </c>
      <c r="B224">
        <v>10501001003</v>
      </c>
      <c r="C224" t="s">
        <v>365</v>
      </c>
      <c r="D224" s="29" t="s">
        <v>366</v>
      </c>
      <c r="E224" t="s">
        <v>79</v>
      </c>
      <c r="F224">
        <v>57.448</v>
      </c>
      <c r="G224">
        <v>305.43</v>
      </c>
      <c r="H224">
        <v>17546.34</v>
      </c>
    </row>
    <row r="225" spans="1:8" ht="48" hidden="1">
      <c r="A225">
        <v>204</v>
      </c>
      <c r="B225">
        <v>11101002002</v>
      </c>
      <c r="C225" t="s">
        <v>357</v>
      </c>
      <c r="D225" s="29" t="s">
        <v>367</v>
      </c>
      <c r="E225" t="s">
        <v>94</v>
      </c>
      <c r="F225">
        <v>143.62</v>
      </c>
      <c r="G225">
        <v>36.659999999999997</v>
      </c>
      <c r="H225">
        <v>5265.11</v>
      </c>
    </row>
    <row r="226" spans="1:8" ht="84" hidden="1">
      <c r="A226">
        <v>205</v>
      </c>
      <c r="B226">
        <v>10904002003</v>
      </c>
      <c r="C226" t="s">
        <v>359</v>
      </c>
      <c r="D226" s="29" t="s">
        <v>368</v>
      </c>
      <c r="E226" t="s">
        <v>94</v>
      </c>
      <c r="F226">
        <v>143.62</v>
      </c>
      <c r="G226">
        <v>34.18</v>
      </c>
      <c r="H226">
        <v>4908.93</v>
      </c>
    </row>
    <row r="227" spans="1:8" ht="48" hidden="1">
      <c r="A227">
        <v>206</v>
      </c>
      <c r="B227">
        <v>11102003003</v>
      </c>
      <c r="C227" t="s">
        <v>351</v>
      </c>
      <c r="D227" s="29" t="s">
        <v>369</v>
      </c>
      <c r="E227" t="s">
        <v>94</v>
      </c>
      <c r="F227">
        <v>143.62</v>
      </c>
      <c r="G227">
        <v>84.99</v>
      </c>
      <c r="H227">
        <v>12206.26</v>
      </c>
    </row>
    <row r="228" spans="1:8" hidden="1">
      <c r="A228" t="s">
        <v>53</v>
      </c>
      <c r="B228" t="s">
        <v>53</v>
      </c>
      <c r="C228" t="s">
        <v>370</v>
      </c>
      <c r="D228" s="29" t="s">
        <v>53</v>
      </c>
      <c r="E228" t="s">
        <v>53</v>
      </c>
      <c r="F228" t="s">
        <v>53</v>
      </c>
      <c r="G228" t="s">
        <v>53</v>
      </c>
      <c r="H228">
        <v>30495.56</v>
      </c>
    </row>
    <row r="229" spans="1:8" ht="48" hidden="1">
      <c r="A229">
        <v>207</v>
      </c>
      <c r="B229">
        <v>10501001004</v>
      </c>
      <c r="C229" t="s">
        <v>349</v>
      </c>
      <c r="D229" s="29" t="s">
        <v>350</v>
      </c>
      <c r="E229" t="s">
        <v>94</v>
      </c>
      <c r="F229">
        <v>150.38</v>
      </c>
      <c r="G229">
        <v>47.29</v>
      </c>
      <c r="H229">
        <v>7111.47</v>
      </c>
    </row>
    <row r="230" spans="1:8" ht="72" hidden="1">
      <c r="A230">
        <v>208</v>
      </c>
      <c r="B230">
        <v>10904002004</v>
      </c>
      <c r="C230" t="s">
        <v>359</v>
      </c>
      <c r="D230" s="29" t="s">
        <v>371</v>
      </c>
      <c r="E230" t="s">
        <v>94</v>
      </c>
      <c r="F230">
        <v>150.38</v>
      </c>
      <c r="G230">
        <v>34.18</v>
      </c>
      <c r="H230">
        <v>5139.99</v>
      </c>
    </row>
    <row r="231" spans="1:8" ht="72" hidden="1">
      <c r="A231">
        <v>209</v>
      </c>
      <c r="B231">
        <v>10904002005</v>
      </c>
      <c r="C231" t="s">
        <v>359</v>
      </c>
      <c r="D231" s="29" t="s">
        <v>371</v>
      </c>
      <c r="E231" t="s">
        <v>94</v>
      </c>
      <c r="F231">
        <v>150.38</v>
      </c>
      <c r="G231">
        <v>34.18</v>
      </c>
      <c r="H231">
        <v>5139.99</v>
      </c>
    </row>
    <row r="232" spans="1:8" ht="48" hidden="1">
      <c r="A232">
        <v>210</v>
      </c>
      <c r="B232">
        <v>11102003004</v>
      </c>
      <c r="C232" t="s">
        <v>351</v>
      </c>
      <c r="D232" s="29" t="s">
        <v>372</v>
      </c>
      <c r="E232" t="s">
        <v>94</v>
      </c>
      <c r="F232">
        <v>150.38</v>
      </c>
      <c r="G232">
        <v>87.14</v>
      </c>
      <c r="H232">
        <v>13104.11</v>
      </c>
    </row>
    <row r="233" spans="1:8" hidden="1">
      <c r="A233" t="s">
        <v>53</v>
      </c>
      <c r="B233" t="s">
        <v>53</v>
      </c>
      <c r="C233" t="s">
        <v>373</v>
      </c>
      <c r="D233" s="29" t="s">
        <v>53</v>
      </c>
      <c r="E233" t="s">
        <v>53</v>
      </c>
      <c r="F233" t="s">
        <v>53</v>
      </c>
      <c r="G233" t="s">
        <v>53</v>
      </c>
      <c r="H233">
        <v>31360.31</v>
      </c>
    </row>
    <row r="234" spans="1:8" ht="60" hidden="1">
      <c r="A234">
        <v>211</v>
      </c>
      <c r="B234">
        <v>11101002003</v>
      </c>
      <c r="C234" t="s">
        <v>357</v>
      </c>
      <c r="D234" s="29" t="s">
        <v>374</v>
      </c>
      <c r="E234" t="s">
        <v>94</v>
      </c>
      <c r="F234">
        <v>158.84</v>
      </c>
      <c r="G234">
        <v>38.06</v>
      </c>
      <c r="H234">
        <v>6045.45</v>
      </c>
    </row>
    <row r="235" spans="1:8" ht="72" hidden="1">
      <c r="A235">
        <v>212</v>
      </c>
      <c r="B235">
        <v>10904002006</v>
      </c>
      <c r="C235" t="s">
        <v>359</v>
      </c>
      <c r="D235" s="29" t="s">
        <v>371</v>
      </c>
      <c r="E235" t="s">
        <v>94</v>
      </c>
      <c r="F235">
        <v>167.84</v>
      </c>
      <c r="G235">
        <v>34.18</v>
      </c>
      <c r="H235">
        <v>5736.77</v>
      </c>
    </row>
    <row r="236" spans="1:8" ht="72" hidden="1">
      <c r="A236">
        <v>213</v>
      </c>
      <c r="B236">
        <v>10904002007</v>
      </c>
      <c r="C236" t="s">
        <v>359</v>
      </c>
      <c r="D236" s="29" t="s">
        <v>371</v>
      </c>
      <c r="E236" t="s">
        <v>94</v>
      </c>
      <c r="F236">
        <v>167.84</v>
      </c>
      <c r="G236">
        <v>34.18</v>
      </c>
      <c r="H236">
        <v>5736.77</v>
      </c>
    </row>
    <row r="237" spans="1:8" ht="48" hidden="1">
      <c r="A237">
        <v>214</v>
      </c>
      <c r="B237">
        <v>11102003005</v>
      </c>
      <c r="C237" t="s">
        <v>351</v>
      </c>
      <c r="D237" s="29" t="s">
        <v>372</v>
      </c>
      <c r="E237" t="s">
        <v>94</v>
      </c>
      <c r="F237">
        <v>158.84</v>
      </c>
      <c r="G237">
        <v>87.14</v>
      </c>
      <c r="H237">
        <v>13841.32</v>
      </c>
    </row>
    <row r="238" spans="1:8" hidden="1">
      <c r="A238" t="s">
        <v>53</v>
      </c>
      <c r="B238" t="s">
        <v>53</v>
      </c>
      <c r="C238" t="s">
        <v>375</v>
      </c>
      <c r="D238" s="29" t="s">
        <v>53</v>
      </c>
      <c r="E238" t="s">
        <v>53</v>
      </c>
      <c r="F238" t="s">
        <v>53</v>
      </c>
      <c r="G238" t="s">
        <v>53</v>
      </c>
      <c r="H238">
        <v>2015121.57</v>
      </c>
    </row>
    <row r="239" spans="1:8" ht="36" hidden="1">
      <c r="A239">
        <v>215</v>
      </c>
      <c r="B239">
        <v>10501001005</v>
      </c>
      <c r="C239" t="s">
        <v>349</v>
      </c>
      <c r="D239" s="29" t="s">
        <v>376</v>
      </c>
      <c r="E239" t="s">
        <v>94</v>
      </c>
      <c r="F239">
        <v>8901.5</v>
      </c>
      <c r="G239">
        <v>85.1</v>
      </c>
      <c r="H239">
        <v>757517.65</v>
      </c>
    </row>
    <row r="240" spans="1:8" ht="36" hidden="1">
      <c r="A240">
        <v>216</v>
      </c>
      <c r="B240">
        <v>10501001006</v>
      </c>
      <c r="C240" t="s">
        <v>377</v>
      </c>
      <c r="D240" s="29" t="s">
        <v>378</v>
      </c>
      <c r="E240" t="s">
        <v>94</v>
      </c>
      <c r="F240">
        <v>8901.5</v>
      </c>
      <c r="G240">
        <v>108.78</v>
      </c>
      <c r="H240">
        <v>968305.17</v>
      </c>
    </row>
    <row r="241" spans="1:8" ht="48" hidden="1">
      <c r="A241">
        <v>217</v>
      </c>
      <c r="B241">
        <v>11101001003</v>
      </c>
      <c r="C241" t="s">
        <v>379</v>
      </c>
      <c r="D241" s="29" t="s">
        <v>380</v>
      </c>
      <c r="E241" t="s">
        <v>94</v>
      </c>
      <c r="F241">
        <v>8901.5</v>
      </c>
      <c r="G241">
        <v>14.14</v>
      </c>
      <c r="H241">
        <v>125867.21</v>
      </c>
    </row>
    <row r="242" spans="1:8" ht="72" hidden="1">
      <c r="A242">
        <v>218</v>
      </c>
      <c r="B242">
        <v>11101001004</v>
      </c>
      <c r="C242" t="s">
        <v>381</v>
      </c>
      <c r="D242" s="29" t="s">
        <v>382</v>
      </c>
      <c r="E242" t="s">
        <v>94</v>
      </c>
      <c r="F242">
        <v>8901.5</v>
      </c>
      <c r="G242">
        <v>18.36</v>
      </c>
      <c r="H242">
        <v>163431.54</v>
      </c>
    </row>
    <row r="243" spans="1:8" hidden="1">
      <c r="A243" t="s">
        <v>53</v>
      </c>
      <c r="B243" t="s">
        <v>53</v>
      </c>
      <c r="C243" t="s">
        <v>383</v>
      </c>
      <c r="D243" s="29" t="s">
        <v>53</v>
      </c>
      <c r="E243" t="s">
        <v>53</v>
      </c>
      <c r="F243" t="s">
        <v>53</v>
      </c>
      <c r="G243" t="s">
        <v>53</v>
      </c>
      <c r="H243">
        <v>1205.8800000000001</v>
      </c>
    </row>
    <row r="244" spans="1:8" ht="48" hidden="1">
      <c r="A244">
        <v>219</v>
      </c>
      <c r="B244">
        <v>10501001007</v>
      </c>
      <c r="C244" t="s">
        <v>349</v>
      </c>
      <c r="D244" s="29" t="s">
        <v>350</v>
      </c>
      <c r="E244" t="s">
        <v>94</v>
      </c>
      <c r="F244">
        <v>8.5299999999999994</v>
      </c>
      <c r="G244">
        <v>47.29</v>
      </c>
      <c r="H244">
        <v>403.38</v>
      </c>
    </row>
    <row r="245" spans="1:8" ht="48" hidden="1">
      <c r="A245">
        <v>220</v>
      </c>
      <c r="B245">
        <v>11101002004</v>
      </c>
      <c r="C245" t="s">
        <v>357</v>
      </c>
      <c r="D245" s="29" t="s">
        <v>384</v>
      </c>
      <c r="E245" t="s">
        <v>94</v>
      </c>
      <c r="F245">
        <v>8.5299999999999994</v>
      </c>
      <c r="G245">
        <v>38.06</v>
      </c>
      <c r="H245">
        <v>324.64999999999998</v>
      </c>
    </row>
    <row r="246" spans="1:8" ht="36" hidden="1">
      <c r="A246">
        <v>221</v>
      </c>
      <c r="B246">
        <v>11101001005</v>
      </c>
      <c r="C246" t="s">
        <v>381</v>
      </c>
      <c r="D246" s="29" t="s">
        <v>385</v>
      </c>
      <c r="E246" t="s">
        <v>94</v>
      </c>
      <c r="F246">
        <v>8.5299999999999994</v>
      </c>
      <c r="G246">
        <v>18.36</v>
      </c>
      <c r="H246">
        <v>156.61000000000001</v>
      </c>
    </row>
    <row r="247" spans="1:8" hidden="1">
      <c r="A247">
        <v>222</v>
      </c>
      <c r="B247">
        <v>10101003001</v>
      </c>
      <c r="C247" t="s">
        <v>386</v>
      </c>
      <c r="D247" s="29" t="s">
        <v>387</v>
      </c>
      <c r="E247" t="s">
        <v>79</v>
      </c>
      <c r="F247">
        <v>1.706</v>
      </c>
      <c r="G247">
        <v>188.3</v>
      </c>
      <c r="H247">
        <v>321.24</v>
      </c>
    </row>
    <row r="248" spans="1:8" hidden="1">
      <c r="A248" t="s">
        <v>53</v>
      </c>
      <c r="B248" t="s">
        <v>53</v>
      </c>
      <c r="C248" t="s">
        <v>388</v>
      </c>
      <c r="D248" s="29" t="s">
        <v>53</v>
      </c>
      <c r="E248" t="s">
        <v>53</v>
      </c>
      <c r="F248" t="s">
        <v>53</v>
      </c>
      <c r="G248" t="s">
        <v>53</v>
      </c>
      <c r="H248">
        <v>37459.300000000003</v>
      </c>
    </row>
    <row r="249" spans="1:8" ht="48" hidden="1">
      <c r="A249">
        <v>223</v>
      </c>
      <c r="B249">
        <v>10501001008</v>
      </c>
      <c r="C249" t="s">
        <v>349</v>
      </c>
      <c r="D249" s="29" t="s">
        <v>350</v>
      </c>
      <c r="E249" t="s">
        <v>94</v>
      </c>
      <c r="F249">
        <v>562.03</v>
      </c>
      <c r="G249">
        <v>47.29</v>
      </c>
      <c r="H249">
        <v>26578.400000000001</v>
      </c>
    </row>
    <row r="250" spans="1:8" ht="60" hidden="1">
      <c r="A250">
        <v>224</v>
      </c>
      <c r="B250">
        <v>11101003001</v>
      </c>
      <c r="C250" t="s">
        <v>389</v>
      </c>
      <c r="D250" s="29" t="s">
        <v>390</v>
      </c>
      <c r="E250" t="s">
        <v>94</v>
      </c>
      <c r="F250">
        <v>562.03</v>
      </c>
      <c r="G250">
        <v>19.36</v>
      </c>
      <c r="H250">
        <v>10880.9</v>
      </c>
    </row>
    <row r="251" spans="1:8" hidden="1">
      <c r="A251" t="s">
        <v>53</v>
      </c>
      <c r="B251" t="s">
        <v>53</v>
      </c>
      <c r="C251" t="s">
        <v>391</v>
      </c>
      <c r="D251" s="29" t="s">
        <v>53</v>
      </c>
      <c r="E251" t="s">
        <v>53</v>
      </c>
      <c r="F251" t="s">
        <v>53</v>
      </c>
      <c r="G251" t="s">
        <v>53</v>
      </c>
      <c r="H251">
        <v>44922.9</v>
      </c>
    </row>
    <row r="252" spans="1:8" ht="48" hidden="1">
      <c r="A252">
        <v>225</v>
      </c>
      <c r="B252">
        <v>10501001009</v>
      </c>
      <c r="C252" t="s">
        <v>349</v>
      </c>
      <c r="D252" s="29" t="s">
        <v>350</v>
      </c>
      <c r="E252" t="s">
        <v>94</v>
      </c>
      <c r="F252">
        <v>330</v>
      </c>
      <c r="G252">
        <v>47.29</v>
      </c>
      <c r="H252">
        <v>15605.7</v>
      </c>
    </row>
    <row r="253" spans="1:8" ht="60" hidden="1">
      <c r="A253">
        <v>226</v>
      </c>
      <c r="B253">
        <v>11101002005</v>
      </c>
      <c r="C253" t="s">
        <v>357</v>
      </c>
      <c r="D253" s="29" t="s">
        <v>392</v>
      </c>
      <c r="E253" t="s">
        <v>94</v>
      </c>
      <c r="F253">
        <v>330</v>
      </c>
      <c r="G253">
        <v>69.48</v>
      </c>
      <c r="H253">
        <v>22928.400000000001</v>
      </c>
    </row>
    <row r="254" spans="1:8" ht="60" hidden="1">
      <c r="A254">
        <v>227</v>
      </c>
      <c r="B254">
        <v>11101003002</v>
      </c>
      <c r="C254" t="s">
        <v>389</v>
      </c>
      <c r="D254" s="29" t="s">
        <v>390</v>
      </c>
      <c r="E254" t="s">
        <v>94</v>
      </c>
      <c r="F254">
        <v>330</v>
      </c>
      <c r="G254">
        <v>19.36</v>
      </c>
      <c r="H254">
        <v>6388.8</v>
      </c>
    </row>
    <row r="255" spans="1:8" hidden="1">
      <c r="A255" t="s">
        <v>53</v>
      </c>
      <c r="B255" t="s">
        <v>53</v>
      </c>
      <c r="C255" t="s">
        <v>393</v>
      </c>
      <c r="D255" s="29" t="s">
        <v>53</v>
      </c>
      <c r="E255" t="s">
        <v>53</v>
      </c>
      <c r="F255" t="s">
        <v>53</v>
      </c>
      <c r="G255" t="s">
        <v>53</v>
      </c>
      <c r="H255">
        <v>609.1</v>
      </c>
    </row>
    <row r="256" spans="1:8" ht="48" hidden="1">
      <c r="A256">
        <v>228</v>
      </c>
      <c r="B256">
        <v>10501001010</v>
      </c>
      <c r="C256" t="s">
        <v>349</v>
      </c>
      <c r="D256" s="29" t="s">
        <v>350</v>
      </c>
      <c r="E256" t="s">
        <v>94</v>
      </c>
      <c r="F256">
        <v>12.88</v>
      </c>
      <c r="G256">
        <v>47.29</v>
      </c>
      <c r="H256">
        <v>609.1</v>
      </c>
    </row>
    <row r="257" spans="1:8" hidden="1">
      <c r="A257" t="s">
        <v>53</v>
      </c>
      <c r="B257" t="s">
        <v>53</v>
      </c>
      <c r="C257" t="s">
        <v>394</v>
      </c>
      <c r="D257" s="29" t="s">
        <v>53</v>
      </c>
      <c r="E257" t="s">
        <v>53</v>
      </c>
      <c r="F257" t="s">
        <v>53</v>
      </c>
      <c r="G257" t="s">
        <v>53</v>
      </c>
      <c r="H257">
        <v>1439048</v>
      </c>
    </row>
    <row r="258" spans="1:8" ht="36" hidden="1">
      <c r="A258">
        <v>229</v>
      </c>
      <c r="B258">
        <v>10501001011</v>
      </c>
      <c r="C258" t="s">
        <v>395</v>
      </c>
      <c r="D258" s="29" t="s">
        <v>396</v>
      </c>
      <c r="E258" t="s">
        <v>94</v>
      </c>
      <c r="F258">
        <v>6869.62</v>
      </c>
      <c r="G258">
        <v>58.29</v>
      </c>
      <c r="H258">
        <v>400430.15</v>
      </c>
    </row>
    <row r="259" spans="1:8" ht="84" hidden="1">
      <c r="A259">
        <v>230</v>
      </c>
      <c r="B259">
        <v>10501001012</v>
      </c>
      <c r="C259" t="s">
        <v>377</v>
      </c>
      <c r="D259" s="29" t="s">
        <v>397</v>
      </c>
      <c r="E259" t="s">
        <v>94</v>
      </c>
      <c r="F259">
        <v>6869.62</v>
      </c>
      <c r="G259">
        <v>151.19</v>
      </c>
      <c r="H259">
        <v>1038617.85</v>
      </c>
    </row>
    <row r="260" spans="1:8" hidden="1">
      <c r="A260" t="s">
        <v>53</v>
      </c>
      <c r="B260" t="s">
        <v>53</v>
      </c>
      <c r="C260" t="s">
        <v>398</v>
      </c>
      <c r="D260" s="29" t="s">
        <v>53</v>
      </c>
      <c r="E260" t="s">
        <v>53</v>
      </c>
      <c r="F260" t="s">
        <v>53</v>
      </c>
      <c r="G260" t="s">
        <v>53</v>
      </c>
      <c r="H260">
        <v>39732.58</v>
      </c>
    </row>
    <row r="261" spans="1:8" ht="48" hidden="1">
      <c r="A261">
        <v>231</v>
      </c>
      <c r="B261">
        <v>10501001013</v>
      </c>
      <c r="C261" t="s">
        <v>349</v>
      </c>
      <c r="D261" s="29" t="s">
        <v>350</v>
      </c>
      <c r="E261" t="s">
        <v>94</v>
      </c>
      <c r="F261">
        <v>112.35</v>
      </c>
      <c r="G261">
        <v>47.29</v>
      </c>
      <c r="H261">
        <v>5313.03</v>
      </c>
    </row>
    <row r="262" spans="1:8" ht="48" hidden="1">
      <c r="A262">
        <v>232</v>
      </c>
      <c r="B262">
        <v>11101001006</v>
      </c>
      <c r="C262" t="s">
        <v>399</v>
      </c>
      <c r="D262" s="29" t="s">
        <v>400</v>
      </c>
      <c r="E262" t="s">
        <v>94</v>
      </c>
      <c r="F262">
        <v>112.35</v>
      </c>
      <c r="G262">
        <v>16.47</v>
      </c>
      <c r="H262">
        <v>1850.4</v>
      </c>
    </row>
    <row r="263" spans="1:8" ht="48" hidden="1">
      <c r="A263">
        <v>233</v>
      </c>
      <c r="B263">
        <v>11101001007</v>
      </c>
      <c r="C263" t="s">
        <v>401</v>
      </c>
      <c r="D263" s="29" t="s">
        <v>402</v>
      </c>
      <c r="E263" t="s">
        <v>94</v>
      </c>
      <c r="F263">
        <v>112.35</v>
      </c>
      <c r="G263">
        <v>18.36</v>
      </c>
      <c r="H263">
        <v>2062.75</v>
      </c>
    </row>
    <row r="264" spans="1:8" ht="36" hidden="1">
      <c r="A264">
        <v>234</v>
      </c>
      <c r="B264">
        <v>11109001001</v>
      </c>
      <c r="C264" t="s">
        <v>403</v>
      </c>
      <c r="D264" s="29" t="s">
        <v>404</v>
      </c>
      <c r="E264" t="s">
        <v>94</v>
      </c>
      <c r="F264">
        <v>112.35</v>
      </c>
      <c r="G264">
        <v>271.52999999999997</v>
      </c>
      <c r="H264">
        <v>30506.400000000001</v>
      </c>
    </row>
    <row r="265" spans="1:8" hidden="1">
      <c r="A265" t="s">
        <v>53</v>
      </c>
      <c r="B265" t="s">
        <v>53</v>
      </c>
      <c r="C265" t="s">
        <v>405</v>
      </c>
      <c r="D265" s="29" t="s">
        <v>53</v>
      </c>
      <c r="E265" t="s">
        <v>53</v>
      </c>
      <c r="F265" t="s">
        <v>53</v>
      </c>
      <c r="G265" t="s">
        <v>53</v>
      </c>
      <c r="H265">
        <v>321.13</v>
      </c>
    </row>
    <row r="266" spans="1:8" ht="48" hidden="1">
      <c r="A266">
        <v>235</v>
      </c>
      <c r="B266">
        <v>10501001014</v>
      </c>
      <c r="C266" t="s">
        <v>349</v>
      </c>
      <c r="D266" s="29" t="s">
        <v>350</v>
      </c>
      <c r="E266" t="s">
        <v>94</v>
      </c>
      <c r="F266">
        <v>4.2</v>
      </c>
      <c r="G266">
        <v>47.29</v>
      </c>
      <c r="H266">
        <v>198.62</v>
      </c>
    </row>
    <row r="267" spans="1:8" ht="60" hidden="1">
      <c r="A267">
        <v>236</v>
      </c>
      <c r="B267">
        <v>11101001008</v>
      </c>
      <c r="C267" t="s">
        <v>399</v>
      </c>
      <c r="D267" s="29" t="s">
        <v>406</v>
      </c>
      <c r="E267" t="s">
        <v>94</v>
      </c>
      <c r="F267">
        <v>4.2</v>
      </c>
      <c r="G267">
        <v>29.17</v>
      </c>
      <c r="H267">
        <v>122.51</v>
      </c>
    </row>
    <row r="268" spans="1:8" hidden="1">
      <c r="A268" t="s">
        <v>53</v>
      </c>
      <c r="B268" t="s">
        <v>53</v>
      </c>
      <c r="C268" t="s">
        <v>407</v>
      </c>
      <c r="D268" s="29" t="s">
        <v>53</v>
      </c>
      <c r="E268" t="s">
        <v>53</v>
      </c>
      <c r="F268" t="s">
        <v>53</v>
      </c>
      <c r="G268" t="s">
        <v>53</v>
      </c>
      <c r="H268">
        <v>97210.15</v>
      </c>
    </row>
    <row r="269" spans="1:8" ht="48" hidden="1">
      <c r="A269">
        <v>237</v>
      </c>
      <c r="B269">
        <v>10501001015</v>
      </c>
      <c r="C269" t="s">
        <v>349</v>
      </c>
      <c r="D269" s="29" t="s">
        <v>350</v>
      </c>
      <c r="E269" t="s">
        <v>94</v>
      </c>
      <c r="F269">
        <v>181.72</v>
      </c>
      <c r="G269">
        <v>47.29</v>
      </c>
      <c r="H269">
        <v>8593.5400000000009</v>
      </c>
    </row>
    <row r="270" spans="1:8" ht="60" hidden="1">
      <c r="A270">
        <v>238</v>
      </c>
      <c r="B270">
        <v>11101002006</v>
      </c>
      <c r="C270" t="s">
        <v>357</v>
      </c>
      <c r="D270" s="29" t="s">
        <v>358</v>
      </c>
      <c r="E270" t="s">
        <v>94</v>
      </c>
      <c r="F270">
        <v>181.72</v>
      </c>
      <c r="G270">
        <v>34.26</v>
      </c>
      <c r="H270">
        <v>6225.73</v>
      </c>
    </row>
    <row r="271" spans="1:8" ht="36" hidden="1">
      <c r="A271">
        <v>239</v>
      </c>
      <c r="B271">
        <v>10904002008</v>
      </c>
      <c r="C271" t="s">
        <v>359</v>
      </c>
      <c r="D271" s="29" t="s">
        <v>408</v>
      </c>
      <c r="E271" t="s">
        <v>94</v>
      </c>
      <c r="F271">
        <v>181.72</v>
      </c>
      <c r="G271">
        <v>34.18</v>
      </c>
      <c r="H271">
        <v>6211.19</v>
      </c>
    </row>
    <row r="272" spans="1:8" ht="36" hidden="1">
      <c r="A272">
        <v>240</v>
      </c>
      <c r="B272">
        <v>10904002009</v>
      </c>
      <c r="C272" t="s">
        <v>359</v>
      </c>
      <c r="D272" s="29" t="s">
        <v>408</v>
      </c>
      <c r="E272" t="s">
        <v>94</v>
      </c>
      <c r="F272">
        <v>181.72</v>
      </c>
      <c r="G272">
        <v>34.18</v>
      </c>
      <c r="H272">
        <v>6211.19</v>
      </c>
    </row>
    <row r="273" spans="1:8" ht="36" hidden="1">
      <c r="A273">
        <v>241</v>
      </c>
      <c r="B273">
        <v>11101001009</v>
      </c>
      <c r="C273" t="s">
        <v>361</v>
      </c>
      <c r="D273" s="29" t="s">
        <v>362</v>
      </c>
      <c r="E273" t="s">
        <v>94</v>
      </c>
      <c r="F273">
        <v>181.72</v>
      </c>
      <c r="G273">
        <v>13.1</v>
      </c>
      <c r="H273">
        <v>2380.5300000000002</v>
      </c>
    </row>
    <row r="274" spans="1:8" ht="36" hidden="1">
      <c r="A274">
        <v>242</v>
      </c>
      <c r="B274">
        <v>11201001003</v>
      </c>
      <c r="C274" t="s">
        <v>363</v>
      </c>
      <c r="D274" s="29" t="s">
        <v>364</v>
      </c>
      <c r="E274" t="s">
        <v>94</v>
      </c>
      <c r="F274">
        <v>52</v>
      </c>
      <c r="G274">
        <v>14.02</v>
      </c>
      <c r="H274">
        <v>729.04</v>
      </c>
    </row>
    <row r="275" spans="1:8" ht="36" hidden="1">
      <c r="A275">
        <v>243</v>
      </c>
      <c r="B275">
        <v>10501001016</v>
      </c>
      <c r="C275" t="s">
        <v>365</v>
      </c>
      <c r="D275" s="29" t="s">
        <v>409</v>
      </c>
      <c r="E275" t="s">
        <v>79</v>
      </c>
      <c r="F275">
        <v>90.86</v>
      </c>
      <c r="G275">
        <v>305.43</v>
      </c>
      <c r="H275">
        <v>27751.37</v>
      </c>
    </row>
    <row r="276" spans="1:8" ht="48" hidden="1">
      <c r="A276">
        <v>244</v>
      </c>
      <c r="B276">
        <v>11102003006</v>
      </c>
      <c r="C276" t="s">
        <v>351</v>
      </c>
      <c r="D276" s="29" t="s">
        <v>410</v>
      </c>
      <c r="E276" t="s">
        <v>94</v>
      </c>
      <c r="F276">
        <v>448.79</v>
      </c>
      <c r="G276">
        <v>87.14</v>
      </c>
      <c r="H276">
        <v>39107.56</v>
      </c>
    </row>
    <row r="277" spans="1:8" hidden="1">
      <c r="A277" t="s">
        <v>53</v>
      </c>
      <c r="B277" t="s">
        <v>53</v>
      </c>
      <c r="C277" t="s">
        <v>411</v>
      </c>
      <c r="D277" s="29" t="s">
        <v>53</v>
      </c>
      <c r="E277" t="s">
        <v>53</v>
      </c>
      <c r="F277" t="s">
        <v>53</v>
      </c>
      <c r="G277" t="s">
        <v>53</v>
      </c>
      <c r="H277">
        <v>187363.46</v>
      </c>
    </row>
    <row r="278" spans="1:8" ht="72" hidden="1">
      <c r="A278">
        <v>245</v>
      </c>
      <c r="B278">
        <v>11102003007</v>
      </c>
      <c r="C278" t="s">
        <v>351</v>
      </c>
      <c r="D278" s="29" t="s">
        <v>412</v>
      </c>
      <c r="E278" t="s">
        <v>94</v>
      </c>
      <c r="F278">
        <v>962.154</v>
      </c>
      <c r="G278">
        <v>93.69</v>
      </c>
      <c r="H278">
        <v>90144.21</v>
      </c>
    </row>
    <row r="279" spans="1:8" ht="72" hidden="1">
      <c r="A279">
        <v>246</v>
      </c>
      <c r="B279">
        <v>11102003008</v>
      </c>
      <c r="C279" t="s">
        <v>353</v>
      </c>
      <c r="D279" s="29" t="s">
        <v>354</v>
      </c>
      <c r="E279" t="s">
        <v>94</v>
      </c>
      <c r="F279">
        <v>320.71800000000002</v>
      </c>
      <c r="G279">
        <v>91.54</v>
      </c>
      <c r="H279">
        <v>29358.53</v>
      </c>
    </row>
    <row r="280" spans="1:8" ht="72" hidden="1">
      <c r="A280">
        <v>247</v>
      </c>
      <c r="B280">
        <v>11106003002</v>
      </c>
      <c r="C280" t="s">
        <v>355</v>
      </c>
      <c r="D280" s="29" t="s">
        <v>354</v>
      </c>
      <c r="E280" t="s">
        <v>94</v>
      </c>
      <c r="F280">
        <v>320.71800000000002</v>
      </c>
      <c r="G280">
        <v>211.59</v>
      </c>
      <c r="H280">
        <v>67860.72</v>
      </c>
    </row>
    <row r="281" spans="1:8" hidden="1">
      <c r="A281" t="s">
        <v>53</v>
      </c>
      <c r="B281" t="s">
        <v>53</v>
      </c>
      <c r="C281" t="s">
        <v>413</v>
      </c>
      <c r="D281" s="29" t="s">
        <v>53</v>
      </c>
      <c r="E281" t="s">
        <v>53</v>
      </c>
      <c r="F281" t="s">
        <v>53</v>
      </c>
      <c r="G281" t="s">
        <v>53</v>
      </c>
      <c r="H281">
        <v>184804.39</v>
      </c>
    </row>
    <row r="282" spans="1:8" ht="60" hidden="1">
      <c r="A282">
        <v>248</v>
      </c>
      <c r="B282">
        <v>11101002007</v>
      </c>
      <c r="C282" t="s">
        <v>357</v>
      </c>
      <c r="D282" s="29" t="s">
        <v>414</v>
      </c>
      <c r="E282" t="s">
        <v>94</v>
      </c>
      <c r="F282">
        <v>476.33</v>
      </c>
      <c r="G282">
        <v>34.26</v>
      </c>
      <c r="H282">
        <v>16319.07</v>
      </c>
    </row>
    <row r="283" spans="1:8" ht="72" hidden="1">
      <c r="A283">
        <v>249</v>
      </c>
      <c r="B283">
        <v>10904002010</v>
      </c>
      <c r="C283" t="s">
        <v>359</v>
      </c>
      <c r="D283" s="29" t="s">
        <v>360</v>
      </c>
      <c r="E283" t="s">
        <v>94</v>
      </c>
      <c r="F283">
        <v>717.75</v>
      </c>
      <c r="G283">
        <v>32.18</v>
      </c>
      <c r="H283">
        <v>23097.200000000001</v>
      </c>
    </row>
    <row r="284" spans="1:8" ht="36" hidden="1">
      <c r="A284">
        <v>250</v>
      </c>
      <c r="B284">
        <v>11101001010</v>
      </c>
      <c r="C284" t="s">
        <v>361</v>
      </c>
      <c r="D284" s="29" t="s">
        <v>362</v>
      </c>
      <c r="E284" t="s">
        <v>94</v>
      </c>
      <c r="F284">
        <v>476.33</v>
      </c>
      <c r="G284">
        <v>13.1</v>
      </c>
      <c r="H284">
        <v>6239.92</v>
      </c>
    </row>
    <row r="285" spans="1:8" ht="36" hidden="1">
      <c r="A285">
        <v>251</v>
      </c>
      <c r="B285">
        <v>11201001004</v>
      </c>
      <c r="C285" t="s">
        <v>363</v>
      </c>
      <c r="D285" s="29" t="s">
        <v>364</v>
      </c>
      <c r="E285" t="s">
        <v>94</v>
      </c>
      <c r="F285">
        <v>479.85</v>
      </c>
      <c r="G285">
        <v>14.02</v>
      </c>
      <c r="H285">
        <v>6727.5</v>
      </c>
    </row>
    <row r="286" spans="1:8" ht="48" hidden="1">
      <c r="A286">
        <v>252</v>
      </c>
      <c r="B286">
        <v>10501001017</v>
      </c>
      <c r="C286" t="s">
        <v>365</v>
      </c>
      <c r="D286" s="29" t="s">
        <v>366</v>
      </c>
      <c r="E286" t="s">
        <v>79</v>
      </c>
      <c r="F286">
        <v>190.53200000000001</v>
      </c>
      <c r="G286">
        <v>305.43</v>
      </c>
      <c r="H286">
        <v>58194.19</v>
      </c>
    </row>
    <row r="287" spans="1:8" ht="48" hidden="1">
      <c r="A287">
        <v>253</v>
      </c>
      <c r="B287">
        <v>11101002008</v>
      </c>
      <c r="C287" t="s">
        <v>357</v>
      </c>
      <c r="D287" s="29" t="s">
        <v>367</v>
      </c>
      <c r="E287" t="s">
        <v>94</v>
      </c>
      <c r="F287">
        <v>476.33</v>
      </c>
      <c r="G287">
        <v>36.659999999999997</v>
      </c>
      <c r="H287">
        <v>17462.259999999998</v>
      </c>
    </row>
    <row r="288" spans="1:8" ht="84" hidden="1">
      <c r="A288">
        <v>254</v>
      </c>
      <c r="B288">
        <v>10904002011</v>
      </c>
      <c r="C288" t="s">
        <v>359</v>
      </c>
      <c r="D288" s="29" t="s">
        <v>368</v>
      </c>
      <c r="E288" t="s">
        <v>94</v>
      </c>
      <c r="F288">
        <v>476.33</v>
      </c>
      <c r="G288">
        <v>34.18</v>
      </c>
      <c r="H288">
        <v>16280.96</v>
      </c>
    </row>
    <row r="289" spans="1:8" ht="48" hidden="1">
      <c r="A289">
        <v>255</v>
      </c>
      <c r="B289">
        <v>11102003009</v>
      </c>
      <c r="C289" t="s">
        <v>351</v>
      </c>
      <c r="D289" s="29" t="s">
        <v>369</v>
      </c>
      <c r="E289" t="s">
        <v>94</v>
      </c>
      <c r="F289">
        <v>476.33</v>
      </c>
      <c r="G289">
        <v>84.99</v>
      </c>
      <c r="H289">
        <v>40483.29</v>
      </c>
    </row>
    <row r="290" spans="1:8" hidden="1">
      <c r="A290" t="s">
        <v>53</v>
      </c>
      <c r="B290" t="s">
        <v>53</v>
      </c>
      <c r="C290" t="s">
        <v>415</v>
      </c>
      <c r="D290" s="29" t="s">
        <v>53</v>
      </c>
      <c r="E290" t="s">
        <v>53</v>
      </c>
      <c r="F290" t="s">
        <v>53</v>
      </c>
      <c r="G290" t="s">
        <v>53</v>
      </c>
      <c r="H290">
        <v>2565.1999999999998</v>
      </c>
    </row>
    <row r="291" spans="1:8" ht="60" hidden="1">
      <c r="A291">
        <v>256</v>
      </c>
      <c r="B291">
        <v>11101002009</v>
      </c>
      <c r="C291" t="s">
        <v>357</v>
      </c>
      <c r="D291" s="29" t="s">
        <v>374</v>
      </c>
      <c r="E291" t="s">
        <v>94</v>
      </c>
      <c r="F291">
        <v>11.2</v>
      </c>
      <c r="G291">
        <v>26.66</v>
      </c>
      <c r="H291">
        <v>298.58999999999997</v>
      </c>
    </row>
    <row r="292" spans="1:8" ht="60" hidden="1">
      <c r="A292">
        <v>257</v>
      </c>
      <c r="B292">
        <v>10904002012</v>
      </c>
      <c r="C292" t="s">
        <v>359</v>
      </c>
      <c r="D292" s="29" t="s">
        <v>416</v>
      </c>
      <c r="E292" t="s">
        <v>94</v>
      </c>
      <c r="F292">
        <v>18.88</v>
      </c>
      <c r="G292">
        <v>34.18</v>
      </c>
      <c r="H292">
        <v>645.32000000000005</v>
      </c>
    </row>
    <row r="293" spans="1:8" ht="72" hidden="1">
      <c r="A293">
        <v>258</v>
      </c>
      <c r="B293">
        <v>10904002013</v>
      </c>
      <c r="C293" t="s">
        <v>359</v>
      </c>
      <c r="D293" s="29" t="s">
        <v>371</v>
      </c>
      <c r="E293" t="s">
        <v>94</v>
      </c>
      <c r="F293">
        <v>18.88</v>
      </c>
      <c r="G293">
        <v>34.18</v>
      </c>
      <c r="H293">
        <v>645.32000000000005</v>
      </c>
    </row>
    <row r="294" spans="1:8" ht="48" hidden="1">
      <c r="A294">
        <v>259</v>
      </c>
      <c r="B294">
        <v>11102003010</v>
      </c>
      <c r="C294" t="s">
        <v>351</v>
      </c>
      <c r="D294" s="29" t="s">
        <v>372</v>
      </c>
      <c r="E294" t="s">
        <v>94</v>
      </c>
      <c r="F294">
        <v>11.2</v>
      </c>
      <c r="G294">
        <v>87.14</v>
      </c>
      <c r="H294">
        <v>975.97</v>
      </c>
    </row>
    <row r="295" spans="1:8" hidden="1">
      <c r="A295" t="s">
        <v>53</v>
      </c>
      <c r="B295" t="s">
        <v>53</v>
      </c>
      <c r="C295" t="s">
        <v>417</v>
      </c>
      <c r="D295" s="29" t="s">
        <v>53</v>
      </c>
      <c r="E295" t="s">
        <v>53</v>
      </c>
      <c r="F295" t="s">
        <v>53</v>
      </c>
      <c r="G295" t="s">
        <v>53</v>
      </c>
      <c r="H295">
        <v>608716.55000000005</v>
      </c>
    </row>
    <row r="296" spans="1:8" ht="48" hidden="1">
      <c r="A296">
        <v>260</v>
      </c>
      <c r="B296">
        <v>11101001011</v>
      </c>
      <c r="C296" t="s">
        <v>379</v>
      </c>
      <c r="D296" s="29" t="s">
        <v>380</v>
      </c>
      <c r="E296" t="s">
        <v>94</v>
      </c>
      <c r="F296">
        <v>18729.740000000002</v>
      </c>
      <c r="G296">
        <v>14.14</v>
      </c>
      <c r="H296">
        <v>264838.52</v>
      </c>
    </row>
    <row r="297" spans="1:8" ht="72" hidden="1">
      <c r="A297">
        <v>261</v>
      </c>
      <c r="B297">
        <v>11101001012</v>
      </c>
      <c r="C297" t="s">
        <v>381</v>
      </c>
      <c r="D297" s="29" t="s">
        <v>382</v>
      </c>
      <c r="E297" t="s">
        <v>94</v>
      </c>
      <c r="F297">
        <v>18729.740000000002</v>
      </c>
      <c r="G297">
        <v>18.36</v>
      </c>
      <c r="H297">
        <v>343878.03</v>
      </c>
    </row>
    <row r="298" spans="1:8" hidden="1">
      <c r="A298" t="s">
        <v>53</v>
      </c>
      <c r="B298" t="s">
        <v>53</v>
      </c>
      <c r="C298" t="s">
        <v>418</v>
      </c>
      <c r="D298" s="29" t="s">
        <v>53</v>
      </c>
      <c r="E298" t="s">
        <v>53</v>
      </c>
      <c r="F298" t="s">
        <v>53</v>
      </c>
      <c r="G298" t="s">
        <v>53</v>
      </c>
      <c r="H298">
        <v>3471.25</v>
      </c>
    </row>
    <row r="299" spans="1:8" ht="60" hidden="1">
      <c r="A299">
        <v>262</v>
      </c>
      <c r="B299">
        <v>11101003003</v>
      </c>
      <c r="C299" t="s">
        <v>389</v>
      </c>
      <c r="D299" s="29" t="s">
        <v>390</v>
      </c>
      <c r="E299" t="s">
        <v>94</v>
      </c>
      <c r="F299">
        <v>179.3</v>
      </c>
      <c r="G299">
        <v>19.36</v>
      </c>
      <c r="H299">
        <v>3471.25</v>
      </c>
    </row>
    <row r="300" spans="1:8" hidden="1">
      <c r="A300" t="s">
        <v>53</v>
      </c>
      <c r="B300" t="s">
        <v>53</v>
      </c>
      <c r="C300" t="s">
        <v>419</v>
      </c>
      <c r="D300" s="29" t="s">
        <v>53</v>
      </c>
      <c r="E300" t="s">
        <v>53</v>
      </c>
      <c r="F300" t="s">
        <v>53</v>
      </c>
      <c r="G300" t="s">
        <v>53</v>
      </c>
      <c r="H300">
        <v>578109.91</v>
      </c>
    </row>
    <row r="301" spans="1:8" ht="36" hidden="1">
      <c r="A301">
        <v>263</v>
      </c>
      <c r="B301">
        <v>11101001013</v>
      </c>
      <c r="C301" t="s">
        <v>420</v>
      </c>
      <c r="D301" s="29" t="s">
        <v>421</v>
      </c>
      <c r="E301" t="s">
        <v>94</v>
      </c>
      <c r="F301">
        <v>20024.59</v>
      </c>
      <c r="G301">
        <v>3.7</v>
      </c>
      <c r="H301">
        <v>74090.98</v>
      </c>
    </row>
    <row r="302" spans="1:8" ht="48" hidden="1">
      <c r="A302">
        <v>264</v>
      </c>
      <c r="B302">
        <v>10904002014</v>
      </c>
      <c r="C302" t="s">
        <v>422</v>
      </c>
      <c r="D302" s="29" t="s">
        <v>423</v>
      </c>
      <c r="E302" t="s">
        <v>94</v>
      </c>
      <c r="F302">
        <v>20024.59</v>
      </c>
      <c r="G302">
        <v>25.17</v>
      </c>
      <c r="H302">
        <v>504018.93</v>
      </c>
    </row>
    <row r="303" spans="1:8" hidden="1">
      <c r="A303" t="s">
        <v>53</v>
      </c>
      <c r="B303" t="s">
        <v>53</v>
      </c>
      <c r="C303" t="s">
        <v>424</v>
      </c>
      <c r="D303" s="29" t="s">
        <v>53</v>
      </c>
      <c r="E303" t="s">
        <v>53</v>
      </c>
      <c r="F303" t="s">
        <v>53</v>
      </c>
      <c r="G303" t="s">
        <v>53</v>
      </c>
      <c r="H303">
        <v>17.260000000000002</v>
      </c>
    </row>
    <row r="304" spans="1:8" ht="24" hidden="1">
      <c r="A304">
        <v>265</v>
      </c>
      <c r="B304">
        <v>11101001014</v>
      </c>
      <c r="C304" t="s">
        <v>425</v>
      </c>
      <c r="D304" s="29" t="s">
        <v>426</v>
      </c>
      <c r="E304" t="s">
        <v>94</v>
      </c>
      <c r="F304">
        <v>4.2</v>
      </c>
      <c r="G304">
        <v>4.1100000000000003</v>
      </c>
      <c r="H304">
        <v>17.260000000000002</v>
      </c>
    </row>
    <row r="305" spans="1:8" hidden="1">
      <c r="A305" t="s">
        <v>53</v>
      </c>
      <c r="B305" t="s">
        <v>53</v>
      </c>
      <c r="C305" t="s">
        <v>427</v>
      </c>
      <c r="D305" s="29" t="s">
        <v>53</v>
      </c>
      <c r="E305" t="s">
        <v>53</v>
      </c>
      <c r="F305" t="s">
        <v>53</v>
      </c>
      <c r="G305" t="s">
        <v>53</v>
      </c>
      <c r="H305">
        <v>266.92</v>
      </c>
    </row>
    <row r="306" spans="1:8" ht="60" hidden="1">
      <c r="A306">
        <v>266</v>
      </c>
      <c r="B306">
        <v>11101001015</v>
      </c>
      <c r="C306" t="s">
        <v>399</v>
      </c>
      <c r="D306" s="29" t="s">
        <v>406</v>
      </c>
      <c r="E306" t="s">
        <v>94</v>
      </c>
      <c r="F306">
        <v>10.37</v>
      </c>
      <c r="G306">
        <v>25.74</v>
      </c>
      <c r="H306">
        <v>266.92</v>
      </c>
    </row>
    <row r="307" spans="1:8" hidden="1">
      <c r="A307" t="s">
        <v>53</v>
      </c>
      <c r="B307" t="s">
        <v>53</v>
      </c>
      <c r="C307" t="s">
        <v>428</v>
      </c>
      <c r="D307" s="29" t="s">
        <v>53</v>
      </c>
      <c r="E307" t="s">
        <v>53</v>
      </c>
      <c r="F307" t="s">
        <v>53</v>
      </c>
      <c r="G307" t="s">
        <v>53</v>
      </c>
      <c r="H307">
        <v>18154.27</v>
      </c>
    </row>
    <row r="308" spans="1:8" ht="60" hidden="1">
      <c r="A308">
        <v>267</v>
      </c>
      <c r="B308">
        <v>11105003001</v>
      </c>
      <c r="C308" t="s">
        <v>429</v>
      </c>
      <c r="D308" s="29" t="s">
        <v>430</v>
      </c>
      <c r="E308" t="s">
        <v>273</v>
      </c>
      <c r="F308">
        <v>158.83000000000001</v>
      </c>
      <c r="G308">
        <v>114.3</v>
      </c>
      <c r="H308">
        <v>18154.27</v>
      </c>
    </row>
    <row r="309" spans="1:8" hidden="1">
      <c r="A309" t="s">
        <v>53</v>
      </c>
      <c r="B309" t="s">
        <v>53</v>
      </c>
      <c r="C309" t="s">
        <v>431</v>
      </c>
      <c r="D309" s="29" t="s">
        <v>53</v>
      </c>
      <c r="E309" t="s">
        <v>53</v>
      </c>
      <c r="F309" t="s">
        <v>53</v>
      </c>
      <c r="G309" t="s">
        <v>53</v>
      </c>
      <c r="H309">
        <v>817.39</v>
      </c>
    </row>
    <row r="310" spans="1:8" ht="72" hidden="1">
      <c r="A310">
        <v>268</v>
      </c>
      <c r="B310">
        <v>11105006001</v>
      </c>
      <c r="C310" t="s">
        <v>432</v>
      </c>
      <c r="D310" s="29" t="s">
        <v>433</v>
      </c>
      <c r="E310" t="s">
        <v>94</v>
      </c>
      <c r="F310">
        <v>5.9</v>
      </c>
      <c r="G310">
        <v>138.54</v>
      </c>
      <c r="H310">
        <v>817.39</v>
      </c>
    </row>
    <row r="311" spans="1:8" hidden="1">
      <c r="A311" t="s">
        <v>53</v>
      </c>
      <c r="B311" t="s">
        <v>53</v>
      </c>
      <c r="C311" t="s">
        <v>434</v>
      </c>
      <c r="D311" s="29" t="s">
        <v>53</v>
      </c>
      <c r="E311" t="s">
        <v>53</v>
      </c>
      <c r="F311" t="s">
        <v>53</v>
      </c>
      <c r="G311" t="s">
        <v>53</v>
      </c>
      <c r="H311">
        <v>6351.53</v>
      </c>
    </row>
    <row r="312" spans="1:8" ht="48" hidden="1">
      <c r="A312">
        <v>269</v>
      </c>
      <c r="B312">
        <v>11105001001</v>
      </c>
      <c r="C312" t="s">
        <v>435</v>
      </c>
      <c r="D312" s="29" t="s">
        <v>436</v>
      </c>
      <c r="E312" t="s">
        <v>273</v>
      </c>
      <c r="F312">
        <v>291.89</v>
      </c>
      <c r="G312">
        <v>21.76</v>
      </c>
      <c r="H312">
        <v>6351.53</v>
      </c>
    </row>
    <row r="313" spans="1:8" hidden="1">
      <c r="A313" t="s">
        <v>53</v>
      </c>
      <c r="B313" t="s">
        <v>53</v>
      </c>
      <c r="C313" t="s">
        <v>31</v>
      </c>
      <c r="D313" s="29" t="s">
        <v>53</v>
      </c>
      <c r="E313" t="s">
        <v>53</v>
      </c>
      <c r="F313" t="s">
        <v>53</v>
      </c>
      <c r="G313" t="s">
        <v>53</v>
      </c>
      <c r="H313">
        <v>6581041.3300000001</v>
      </c>
    </row>
    <row r="314" spans="1:8" hidden="1">
      <c r="A314" t="s">
        <v>53</v>
      </c>
      <c r="B314" t="s">
        <v>53</v>
      </c>
      <c r="C314" t="s">
        <v>437</v>
      </c>
      <c r="D314" s="29" t="s">
        <v>53</v>
      </c>
      <c r="E314" t="s">
        <v>53</v>
      </c>
      <c r="F314" t="s">
        <v>53</v>
      </c>
      <c r="G314" t="s">
        <v>53</v>
      </c>
      <c r="H314">
        <v>3490829.12</v>
      </c>
    </row>
    <row r="315" spans="1:8" hidden="1">
      <c r="A315" t="s">
        <v>53</v>
      </c>
      <c r="B315" t="s">
        <v>53</v>
      </c>
      <c r="C315" t="s">
        <v>438</v>
      </c>
      <c r="D315" s="29" t="s">
        <v>53</v>
      </c>
      <c r="E315" t="s">
        <v>53</v>
      </c>
      <c r="F315" t="s">
        <v>53</v>
      </c>
      <c r="G315" t="s">
        <v>53</v>
      </c>
      <c r="H315">
        <v>1469842.54</v>
      </c>
    </row>
    <row r="316" spans="1:8" ht="60" hidden="1">
      <c r="A316">
        <v>270</v>
      </c>
      <c r="B316">
        <v>11201001005</v>
      </c>
      <c r="C316" t="s">
        <v>439</v>
      </c>
      <c r="D316" s="29" t="s">
        <v>440</v>
      </c>
      <c r="E316" t="s">
        <v>94</v>
      </c>
      <c r="F316">
        <v>16208.47</v>
      </c>
      <c r="G316">
        <v>39.99</v>
      </c>
      <c r="H316">
        <v>648176.72</v>
      </c>
    </row>
    <row r="317" spans="1:8" ht="48" hidden="1">
      <c r="A317">
        <v>271</v>
      </c>
      <c r="B317">
        <v>11403003001</v>
      </c>
      <c r="C317" t="s">
        <v>441</v>
      </c>
      <c r="D317" s="29" t="s">
        <v>442</v>
      </c>
      <c r="E317" t="s">
        <v>94</v>
      </c>
      <c r="F317">
        <v>16208.47</v>
      </c>
      <c r="G317">
        <v>31.39</v>
      </c>
      <c r="H317">
        <v>508783.87</v>
      </c>
    </row>
    <row r="318" spans="1:8" ht="60" hidden="1">
      <c r="A318">
        <v>272</v>
      </c>
      <c r="B318">
        <v>11201001006</v>
      </c>
      <c r="C318" t="s">
        <v>443</v>
      </c>
      <c r="D318" s="29" t="s">
        <v>440</v>
      </c>
      <c r="E318" t="s">
        <v>94</v>
      </c>
      <c r="F318">
        <v>3443.94</v>
      </c>
      <c r="G318">
        <v>56.55</v>
      </c>
      <c r="H318">
        <v>194754.81</v>
      </c>
    </row>
    <row r="319" spans="1:8" ht="48" hidden="1">
      <c r="A319">
        <v>273</v>
      </c>
      <c r="B319">
        <v>11403003002</v>
      </c>
      <c r="C319" t="s">
        <v>444</v>
      </c>
      <c r="D319" s="29" t="s">
        <v>442</v>
      </c>
      <c r="E319" t="s">
        <v>94</v>
      </c>
      <c r="F319">
        <v>3443.94</v>
      </c>
      <c r="G319">
        <v>34.299999999999997</v>
      </c>
      <c r="H319">
        <v>118127.14</v>
      </c>
    </row>
    <row r="320" spans="1:8" hidden="1">
      <c r="A320" t="s">
        <v>53</v>
      </c>
      <c r="B320" t="s">
        <v>53</v>
      </c>
      <c r="C320" t="s">
        <v>445</v>
      </c>
      <c r="D320" s="29" t="s">
        <v>53</v>
      </c>
      <c r="E320" t="s">
        <v>53</v>
      </c>
      <c r="F320" t="s">
        <v>53</v>
      </c>
      <c r="G320" t="s">
        <v>53</v>
      </c>
      <c r="H320">
        <v>61675.81</v>
      </c>
    </row>
    <row r="321" spans="1:8" ht="48" hidden="1">
      <c r="A321">
        <v>274</v>
      </c>
      <c r="B321">
        <v>11201001007</v>
      </c>
      <c r="C321" t="s">
        <v>439</v>
      </c>
      <c r="D321" s="29" t="s">
        <v>446</v>
      </c>
      <c r="E321" t="s">
        <v>94</v>
      </c>
      <c r="F321">
        <v>763.22</v>
      </c>
      <c r="G321">
        <v>32.42</v>
      </c>
      <c r="H321">
        <v>24743.59</v>
      </c>
    </row>
    <row r="322" spans="1:8" ht="36" hidden="1">
      <c r="A322">
        <v>275</v>
      </c>
      <c r="B322">
        <v>11201001008</v>
      </c>
      <c r="C322" t="s">
        <v>439</v>
      </c>
      <c r="D322" s="29" t="s">
        <v>447</v>
      </c>
      <c r="E322" t="s">
        <v>94</v>
      </c>
      <c r="F322">
        <v>763.22</v>
      </c>
      <c r="G322">
        <v>17</v>
      </c>
      <c r="H322">
        <v>12974.74</v>
      </c>
    </row>
    <row r="323" spans="1:8" ht="48" hidden="1">
      <c r="A323">
        <v>276</v>
      </c>
      <c r="B323">
        <v>11403003003</v>
      </c>
      <c r="C323" t="s">
        <v>441</v>
      </c>
      <c r="D323" s="29" t="s">
        <v>442</v>
      </c>
      <c r="E323" t="s">
        <v>94</v>
      </c>
      <c r="F323">
        <v>763.22</v>
      </c>
      <c r="G323">
        <v>31.39</v>
      </c>
      <c r="H323">
        <v>23957.48</v>
      </c>
    </row>
    <row r="324" spans="1:8" hidden="1">
      <c r="A324" t="s">
        <v>53</v>
      </c>
      <c r="B324" t="s">
        <v>53</v>
      </c>
      <c r="C324" t="s">
        <v>448</v>
      </c>
      <c r="D324" s="29" t="s">
        <v>53</v>
      </c>
      <c r="E324" t="s">
        <v>53</v>
      </c>
      <c r="F324" t="s">
        <v>53</v>
      </c>
      <c r="G324" t="s">
        <v>53</v>
      </c>
      <c r="H324">
        <v>216513.96</v>
      </c>
    </row>
    <row r="325" spans="1:8" ht="48" hidden="1">
      <c r="A325">
        <v>277</v>
      </c>
      <c r="B325">
        <v>11201001009</v>
      </c>
      <c r="C325" t="s">
        <v>439</v>
      </c>
      <c r="D325" s="29" t="s">
        <v>446</v>
      </c>
      <c r="E325" t="s">
        <v>94</v>
      </c>
      <c r="F325">
        <v>1262.45</v>
      </c>
      <c r="G325">
        <v>32.42</v>
      </c>
      <c r="H325">
        <v>40928.629999999997</v>
      </c>
    </row>
    <row r="326" spans="1:8" ht="36" hidden="1">
      <c r="A326">
        <v>278</v>
      </c>
      <c r="B326">
        <v>11201001010</v>
      </c>
      <c r="C326" t="s">
        <v>439</v>
      </c>
      <c r="D326" s="29" t="s">
        <v>447</v>
      </c>
      <c r="E326" t="s">
        <v>94</v>
      </c>
      <c r="F326">
        <v>1420.85</v>
      </c>
      <c r="G326">
        <v>17</v>
      </c>
      <c r="H326">
        <v>24154.45</v>
      </c>
    </row>
    <row r="327" spans="1:8" ht="36" hidden="1">
      <c r="A327">
        <v>279</v>
      </c>
      <c r="B327">
        <v>11203003001</v>
      </c>
      <c r="C327" t="s">
        <v>449</v>
      </c>
      <c r="D327" s="29" t="s">
        <v>450</v>
      </c>
      <c r="E327" t="s">
        <v>94</v>
      </c>
      <c r="F327">
        <v>1262.45</v>
      </c>
      <c r="G327">
        <v>119.95</v>
      </c>
      <c r="H327">
        <v>151430.88</v>
      </c>
    </row>
    <row r="328" spans="1:8" hidden="1">
      <c r="A328" t="s">
        <v>53</v>
      </c>
      <c r="B328" t="s">
        <v>53</v>
      </c>
      <c r="C328" t="s">
        <v>451</v>
      </c>
      <c r="D328" s="29" t="s">
        <v>53</v>
      </c>
      <c r="E328" t="s">
        <v>53</v>
      </c>
      <c r="F328" t="s">
        <v>53</v>
      </c>
      <c r="G328" t="s">
        <v>53</v>
      </c>
      <c r="H328">
        <v>36868.15</v>
      </c>
    </row>
    <row r="329" spans="1:8" ht="36" hidden="1">
      <c r="A329">
        <v>280</v>
      </c>
      <c r="B329">
        <v>11201001011</v>
      </c>
      <c r="C329" t="s">
        <v>452</v>
      </c>
      <c r="D329" s="29" t="s">
        <v>453</v>
      </c>
      <c r="E329" t="s">
        <v>94</v>
      </c>
      <c r="F329">
        <v>288.56</v>
      </c>
      <c r="G329">
        <v>41.33</v>
      </c>
      <c r="H329">
        <v>11926.18</v>
      </c>
    </row>
    <row r="330" spans="1:8" ht="36" hidden="1">
      <c r="A330">
        <v>281</v>
      </c>
      <c r="B330">
        <v>11201001012</v>
      </c>
      <c r="C330" t="s">
        <v>439</v>
      </c>
      <c r="D330" s="29" t="s">
        <v>447</v>
      </c>
      <c r="E330" t="s">
        <v>94</v>
      </c>
      <c r="F330">
        <v>288.56</v>
      </c>
      <c r="G330">
        <v>17</v>
      </c>
      <c r="H330">
        <v>4905.5200000000004</v>
      </c>
    </row>
    <row r="331" spans="1:8" ht="36" hidden="1">
      <c r="A331">
        <v>282</v>
      </c>
      <c r="B331">
        <v>11203003002</v>
      </c>
      <c r="C331" t="s">
        <v>449</v>
      </c>
      <c r="D331" s="29" t="s">
        <v>450</v>
      </c>
      <c r="E331" t="s">
        <v>94</v>
      </c>
      <c r="F331">
        <v>167.04</v>
      </c>
      <c r="G331">
        <v>119.95</v>
      </c>
      <c r="H331">
        <v>20036.45</v>
      </c>
    </row>
    <row r="332" spans="1:8" hidden="1">
      <c r="A332" t="s">
        <v>53</v>
      </c>
      <c r="B332" t="s">
        <v>53</v>
      </c>
      <c r="C332" t="s">
        <v>454</v>
      </c>
      <c r="D332" s="29" t="s">
        <v>53</v>
      </c>
      <c r="E332" t="s">
        <v>53</v>
      </c>
      <c r="F332" t="s">
        <v>53</v>
      </c>
      <c r="G332" t="s">
        <v>53</v>
      </c>
      <c r="H332">
        <v>1603585.6</v>
      </c>
    </row>
    <row r="333" spans="1:8" ht="36" hidden="1">
      <c r="A333">
        <v>283</v>
      </c>
      <c r="B333">
        <v>11205001002</v>
      </c>
      <c r="C333" t="s">
        <v>455</v>
      </c>
      <c r="D333" s="29" t="s">
        <v>456</v>
      </c>
      <c r="E333" t="s">
        <v>94</v>
      </c>
      <c r="F333">
        <v>19831.63</v>
      </c>
      <c r="G333">
        <v>80.86</v>
      </c>
      <c r="H333">
        <v>1603585.6</v>
      </c>
    </row>
    <row r="334" spans="1:8" hidden="1">
      <c r="A334" t="s">
        <v>53</v>
      </c>
      <c r="B334" t="s">
        <v>53</v>
      </c>
      <c r="C334" t="s">
        <v>457</v>
      </c>
      <c r="D334" s="29" t="s">
        <v>53</v>
      </c>
      <c r="E334" t="s">
        <v>53</v>
      </c>
      <c r="F334" t="s">
        <v>53</v>
      </c>
      <c r="G334" t="s">
        <v>53</v>
      </c>
      <c r="H334">
        <v>25599.87</v>
      </c>
    </row>
    <row r="335" spans="1:8" ht="48" hidden="1">
      <c r="A335">
        <v>284</v>
      </c>
      <c r="B335">
        <v>11403003004</v>
      </c>
      <c r="C335" t="s">
        <v>441</v>
      </c>
      <c r="D335" s="29" t="s">
        <v>458</v>
      </c>
      <c r="E335" t="s">
        <v>94</v>
      </c>
      <c r="F335">
        <v>981.59</v>
      </c>
      <c r="G335">
        <v>26.08</v>
      </c>
      <c r="H335">
        <v>25599.87</v>
      </c>
    </row>
    <row r="336" spans="1:8" hidden="1">
      <c r="A336" t="s">
        <v>53</v>
      </c>
      <c r="B336" t="s">
        <v>53</v>
      </c>
      <c r="C336" t="s">
        <v>459</v>
      </c>
      <c r="D336" s="29" t="s">
        <v>53</v>
      </c>
      <c r="E336" t="s">
        <v>53</v>
      </c>
      <c r="F336" t="s">
        <v>53</v>
      </c>
      <c r="G336" t="s">
        <v>53</v>
      </c>
      <c r="H336">
        <v>35272.69</v>
      </c>
    </row>
    <row r="337" spans="1:8" ht="48" hidden="1">
      <c r="A337">
        <v>285</v>
      </c>
      <c r="B337">
        <v>11201001013</v>
      </c>
      <c r="C337" t="s">
        <v>439</v>
      </c>
      <c r="D337" s="29" t="s">
        <v>460</v>
      </c>
      <c r="E337" t="s">
        <v>94</v>
      </c>
      <c r="F337">
        <v>126.1</v>
      </c>
      <c r="G337">
        <v>12.14</v>
      </c>
      <c r="H337">
        <v>1530.85</v>
      </c>
    </row>
    <row r="338" spans="1:8" ht="36" hidden="1">
      <c r="A338">
        <v>286</v>
      </c>
      <c r="B338">
        <v>11205001003</v>
      </c>
      <c r="C338" t="s">
        <v>455</v>
      </c>
      <c r="D338" s="29" t="s">
        <v>461</v>
      </c>
      <c r="E338" t="s">
        <v>94</v>
      </c>
      <c r="F338">
        <v>126.1</v>
      </c>
      <c r="G338">
        <v>267.58</v>
      </c>
      <c r="H338">
        <v>33741.839999999997</v>
      </c>
    </row>
    <row r="339" spans="1:8" hidden="1">
      <c r="A339" t="s">
        <v>53</v>
      </c>
      <c r="B339" t="s">
        <v>53</v>
      </c>
      <c r="C339" t="s">
        <v>462</v>
      </c>
      <c r="D339" s="29" t="s">
        <v>53</v>
      </c>
      <c r="E339" t="s">
        <v>53</v>
      </c>
      <c r="F339" t="s">
        <v>53</v>
      </c>
      <c r="G339" t="s">
        <v>53</v>
      </c>
      <c r="H339">
        <v>1850.32</v>
      </c>
    </row>
    <row r="340" spans="1:8" ht="48" hidden="1">
      <c r="A340">
        <v>287</v>
      </c>
      <c r="B340">
        <v>11201001014</v>
      </c>
      <c r="C340" t="s">
        <v>463</v>
      </c>
      <c r="D340" s="29" t="s">
        <v>464</v>
      </c>
      <c r="E340" t="s">
        <v>94</v>
      </c>
      <c r="F340">
        <v>154.58000000000001</v>
      </c>
      <c r="G340">
        <v>11.97</v>
      </c>
      <c r="H340">
        <v>1850.32</v>
      </c>
    </row>
    <row r="341" spans="1:8" hidden="1">
      <c r="A341" t="s">
        <v>53</v>
      </c>
      <c r="B341" t="s">
        <v>53</v>
      </c>
      <c r="C341" t="s">
        <v>465</v>
      </c>
      <c r="D341" s="29" t="s">
        <v>53</v>
      </c>
      <c r="E341" t="s">
        <v>53</v>
      </c>
      <c r="F341" t="s">
        <v>53</v>
      </c>
      <c r="G341" t="s">
        <v>53</v>
      </c>
      <c r="H341">
        <v>2532.48</v>
      </c>
    </row>
    <row r="342" spans="1:8" ht="48" hidden="1">
      <c r="A342">
        <v>288</v>
      </c>
      <c r="B342">
        <v>11506003001</v>
      </c>
      <c r="C342" t="s">
        <v>466</v>
      </c>
      <c r="D342" s="29" t="s">
        <v>467</v>
      </c>
      <c r="E342" t="s">
        <v>468</v>
      </c>
      <c r="F342">
        <v>48</v>
      </c>
      <c r="G342">
        <v>52.76</v>
      </c>
      <c r="H342">
        <v>2532.48</v>
      </c>
    </row>
    <row r="343" spans="1:8" hidden="1">
      <c r="A343" t="s">
        <v>53</v>
      </c>
      <c r="B343" t="s">
        <v>53</v>
      </c>
      <c r="C343" t="s">
        <v>469</v>
      </c>
      <c r="D343" s="29" t="s">
        <v>53</v>
      </c>
      <c r="E343" t="s">
        <v>53</v>
      </c>
      <c r="F343" t="s">
        <v>53</v>
      </c>
      <c r="G343" t="s">
        <v>53</v>
      </c>
      <c r="H343">
        <v>19000.080000000002</v>
      </c>
    </row>
    <row r="344" spans="1:8" ht="36" hidden="1">
      <c r="A344">
        <v>289</v>
      </c>
      <c r="B344">
        <v>11203003003</v>
      </c>
      <c r="C344" t="s">
        <v>449</v>
      </c>
      <c r="D344" s="29" t="s">
        <v>470</v>
      </c>
      <c r="E344" t="s">
        <v>94</v>
      </c>
      <c r="F344">
        <v>158.4</v>
      </c>
      <c r="G344">
        <v>119.95</v>
      </c>
      <c r="H344">
        <v>19000.080000000002</v>
      </c>
    </row>
    <row r="345" spans="1:8" hidden="1">
      <c r="A345" t="s">
        <v>53</v>
      </c>
      <c r="B345" t="s">
        <v>53</v>
      </c>
      <c r="C345" t="s">
        <v>471</v>
      </c>
      <c r="D345" s="29" t="s">
        <v>53</v>
      </c>
      <c r="E345" t="s">
        <v>53</v>
      </c>
      <c r="F345" t="s">
        <v>53</v>
      </c>
      <c r="G345" t="s">
        <v>53</v>
      </c>
      <c r="H345">
        <v>18087.62</v>
      </c>
    </row>
    <row r="346" spans="1:8" ht="48" hidden="1">
      <c r="A346">
        <v>290</v>
      </c>
      <c r="B346">
        <v>11201001015</v>
      </c>
      <c r="C346" t="s">
        <v>472</v>
      </c>
      <c r="D346" s="29" t="s">
        <v>473</v>
      </c>
      <c r="E346" t="s">
        <v>94</v>
      </c>
      <c r="F346">
        <v>955.5</v>
      </c>
      <c r="G346">
        <v>16.309999999999999</v>
      </c>
      <c r="H346">
        <v>15584.21</v>
      </c>
    </row>
    <row r="347" spans="1:8" ht="36" hidden="1">
      <c r="A347">
        <v>291</v>
      </c>
      <c r="B347">
        <v>11201001016</v>
      </c>
      <c r="C347" t="s">
        <v>474</v>
      </c>
      <c r="D347" s="29" t="s">
        <v>475</v>
      </c>
      <c r="E347" t="s">
        <v>94</v>
      </c>
      <c r="F347">
        <v>955.5</v>
      </c>
      <c r="G347">
        <v>2.62</v>
      </c>
      <c r="H347">
        <v>2503.41</v>
      </c>
    </row>
    <row r="348" spans="1:8" hidden="1">
      <c r="A348" t="s">
        <v>53</v>
      </c>
      <c r="B348" t="s">
        <v>53</v>
      </c>
      <c r="C348" t="s">
        <v>476</v>
      </c>
      <c r="D348" s="29" t="s">
        <v>53</v>
      </c>
      <c r="E348" t="s">
        <v>53</v>
      </c>
      <c r="F348" t="s">
        <v>53</v>
      </c>
      <c r="G348" t="s">
        <v>53</v>
      </c>
      <c r="H348">
        <v>3090212.21</v>
      </c>
    </row>
    <row r="349" spans="1:8" hidden="1">
      <c r="A349" t="s">
        <v>53</v>
      </c>
      <c r="B349" t="s">
        <v>53</v>
      </c>
      <c r="C349" t="s">
        <v>477</v>
      </c>
      <c r="D349" s="29" t="s">
        <v>53</v>
      </c>
      <c r="E349" t="s">
        <v>53</v>
      </c>
      <c r="F349" t="s">
        <v>53</v>
      </c>
      <c r="G349" t="s">
        <v>53</v>
      </c>
      <c r="H349">
        <v>211817.28</v>
      </c>
    </row>
    <row r="350" spans="1:8" ht="60" hidden="1">
      <c r="A350">
        <v>292</v>
      </c>
      <c r="B350">
        <v>11201001017</v>
      </c>
      <c r="C350" t="s">
        <v>439</v>
      </c>
      <c r="D350" s="29" t="s">
        <v>478</v>
      </c>
      <c r="E350" t="s">
        <v>94</v>
      </c>
      <c r="F350">
        <v>1771.64</v>
      </c>
      <c r="G350">
        <v>46.65</v>
      </c>
      <c r="H350">
        <v>82647.009999999995</v>
      </c>
    </row>
    <row r="351" spans="1:8" ht="36" hidden="1">
      <c r="A351">
        <v>293</v>
      </c>
      <c r="B351">
        <v>11201001018</v>
      </c>
      <c r="C351" t="s">
        <v>439</v>
      </c>
      <c r="D351" s="29" t="s">
        <v>447</v>
      </c>
      <c r="E351" t="s">
        <v>94</v>
      </c>
      <c r="F351">
        <v>1771.64</v>
      </c>
      <c r="G351">
        <v>17</v>
      </c>
      <c r="H351">
        <v>30117.88</v>
      </c>
    </row>
    <row r="352" spans="1:8" ht="60" hidden="1">
      <c r="A352">
        <v>294</v>
      </c>
      <c r="B352">
        <v>11403001001</v>
      </c>
      <c r="C352" t="s">
        <v>441</v>
      </c>
      <c r="D352" s="29" t="s">
        <v>479</v>
      </c>
      <c r="E352" t="s">
        <v>94</v>
      </c>
      <c r="F352">
        <v>1771.64</v>
      </c>
      <c r="G352">
        <v>55.91</v>
      </c>
      <c r="H352">
        <v>99052.39</v>
      </c>
    </row>
    <row r="353" spans="1:8" hidden="1">
      <c r="A353" t="s">
        <v>53</v>
      </c>
      <c r="B353" t="s">
        <v>53</v>
      </c>
      <c r="C353" t="s">
        <v>480</v>
      </c>
      <c r="D353" s="29" t="s">
        <v>53</v>
      </c>
      <c r="E353" t="s">
        <v>53</v>
      </c>
      <c r="F353" t="s">
        <v>53</v>
      </c>
      <c r="G353" t="s">
        <v>53</v>
      </c>
      <c r="H353">
        <v>119133.17</v>
      </c>
    </row>
    <row r="354" spans="1:8" ht="60" hidden="1">
      <c r="A354">
        <v>295</v>
      </c>
      <c r="B354">
        <v>11201001019</v>
      </c>
      <c r="C354" t="s">
        <v>439</v>
      </c>
      <c r="D354" s="29" t="s">
        <v>478</v>
      </c>
      <c r="E354" t="s">
        <v>94</v>
      </c>
      <c r="F354">
        <v>996.43</v>
      </c>
      <c r="G354">
        <v>46.65</v>
      </c>
      <c r="H354">
        <v>46483.46</v>
      </c>
    </row>
    <row r="355" spans="1:8" ht="36" hidden="1">
      <c r="A355">
        <v>296</v>
      </c>
      <c r="B355">
        <v>11201001020</v>
      </c>
      <c r="C355" t="s">
        <v>439</v>
      </c>
      <c r="D355" s="29" t="s">
        <v>447</v>
      </c>
      <c r="E355" t="s">
        <v>94</v>
      </c>
      <c r="F355">
        <v>996.43</v>
      </c>
      <c r="G355">
        <v>17</v>
      </c>
      <c r="H355">
        <v>16939.310000000001</v>
      </c>
    </row>
    <row r="356" spans="1:8" ht="60" hidden="1">
      <c r="A356">
        <v>297</v>
      </c>
      <c r="B356">
        <v>11403001002</v>
      </c>
      <c r="C356" t="s">
        <v>441</v>
      </c>
      <c r="D356" s="29" t="s">
        <v>479</v>
      </c>
      <c r="E356" t="s">
        <v>94</v>
      </c>
      <c r="F356">
        <v>996.43</v>
      </c>
      <c r="G356">
        <v>55.91</v>
      </c>
      <c r="H356">
        <v>55710.400000000001</v>
      </c>
    </row>
    <row r="357" spans="1:8" hidden="1">
      <c r="A357" t="s">
        <v>53</v>
      </c>
      <c r="B357" t="s">
        <v>53</v>
      </c>
      <c r="C357" t="s">
        <v>481</v>
      </c>
      <c r="D357" s="29" t="s">
        <v>53</v>
      </c>
      <c r="E357" t="s">
        <v>53</v>
      </c>
      <c r="F357" t="s">
        <v>53</v>
      </c>
      <c r="G357" t="s">
        <v>53</v>
      </c>
      <c r="H357">
        <v>2690930.67</v>
      </c>
    </row>
    <row r="358" spans="1:8" ht="48" hidden="1">
      <c r="A358">
        <v>298</v>
      </c>
      <c r="B358">
        <v>11205001004</v>
      </c>
      <c r="C358" t="s">
        <v>482</v>
      </c>
      <c r="D358" s="29" t="s">
        <v>483</v>
      </c>
      <c r="E358" t="s">
        <v>94</v>
      </c>
      <c r="F358">
        <v>21522.28</v>
      </c>
      <c r="G358">
        <v>125.03</v>
      </c>
      <c r="H358">
        <v>2690930.67</v>
      </c>
    </row>
    <row r="359" spans="1:8" hidden="1">
      <c r="A359" t="s">
        <v>53</v>
      </c>
      <c r="B359" t="s">
        <v>53</v>
      </c>
      <c r="C359" t="s">
        <v>484</v>
      </c>
      <c r="D359" s="29" t="s">
        <v>53</v>
      </c>
      <c r="E359" t="s">
        <v>53</v>
      </c>
      <c r="F359" t="s">
        <v>53</v>
      </c>
      <c r="G359" t="s">
        <v>53</v>
      </c>
      <c r="H359">
        <v>68331.09</v>
      </c>
    </row>
    <row r="360" spans="1:8" ht="48" hidden="1">
      <c r="A360">
        <v>299</v>
      </c>
      <c r="B360">
        <v>11201001021</v>
      </c>
      <c r="C360" t="s">
        <v>485</v>
      </c>
      <c r="D360" s="29" t="s">
        <v>473</v>
      </c>
      <c r="E360" t="s">
        <v>94</v>
      </c>
      <c r="F360">
        <v>2768.87</v>
      </c>
      <c r="G360">
        <v>16.309999999999999</v>
      </c>
      <c r="H360">
        <v>45160.27</v>
      </c>
    </row>
    <row r="361" spans="1:8" ht="36" hidden="1">
      <c r="A361">
        <v>300</v>
      </c>
      <c r="B361">
        <v>11201001022</v>
      </c>
      <c r="C361" t="s">
        <v>486</v>
      </c>
      <c r="D361" s="29" t="s">
        <v>475</v>
      </c>
      <c r="E361" t="s">
        <v>94</v>
      </c>
      <c r="F361">
        <v>2768.87</v>
      </c>
      <c r="G361">
        <v>4.71</v>
      </c>
      <c r="H361">
        <v>13041.38</v>
      </c>
    </row>
    <row r="362" spans="1:8" ht="36" hidden="1">
      <c r="A362">
        <v>301</v>
      </c>
      <c r="B362">
        <v>10903004001</v>
      </c>
      <c r="C362" t="s">
        <v>487</v>
      </c>
      <c r="D362" s="29" t="s">
        <v>488</v>
      </c>
      <c r="E362" t="s">
        <v>273</v>
      </c>
      <c r="F362">
        <v>461.47800000000001</v>
      </c>
      <c r="G362">
        <v>21.95</v>
      </c>
      <c r="H362">
        <v>10129.44</v>
      </c>
    </row>
    <row r="363" spans="1:8" hidden="1">
      <c r="A363" t="s">
        <v>53</v>
      </c>
      <c r="B363" t="s">
        <v>53</v>
      </c>
      <c r="C363" t="s">
        <v>34</v>
      </c>
      <c r="D363" s="29" t="s">
        <v>53</v>
      </c>
      <c r="E363" t="s">
        <v>53</v>
      </c>
      <c r="F363" t="s">
        <v>53</v>
      </c>
      <c r="G363" t="s">
        <v>53</v>
      </c>
      <c r="H363">
        <v>3232762.49</v>
      </c>
    </row>
    <row r="364" spans="1:8" hidden="1">
      <c r="A364" t="s">
        <v>53</v>
      </c>
      <c r="B364" t="s">
        <v>53</v>
      </c>
      <c r="C364" t="s">
        <v>489</v>
      </c>
      <c r="D364" s="29" t="s">
        <v>53</v>
      </c>
      <c r="E364" t="s">
        <v>53</v>
      </c>
      <c r="F364" t="s">
        <v>53</v>
      </c>
      <c r="G364" t="s">
        <v>53</v>
      </c>
      <c r="H364">
        <v>1331131.44</v>
      </c>
    </row>
    <row r="365" spans="1:8" ht="36" hidden="1">
      <c r="A365">
        <v>302</v>
      </c>
      <c r="B365">
        <v>11403003005</v>
      </c>
      <c r="C365" t="s">
        <v>490</v>
      </c>
      <c r="D365" s="29" t="s">
        <v>491</v>
      </c>
      <c r="E365" t="s">
        <v>94</v>
      </c>
      <c r="F365">
        <v>33699.53</v>
      </c>
      <c r="G365">
        <v>1.54</v>
      </c>
      <c r="H365">
        <v>51897.279999999999</v>
      </c>
    </row>
    <row r="366" spans="1:8" ht="36" hidden="1">
      <c r="A366">
        <v>303</v>
      </c>
      <c r="B366">
        <v>11403003006</v>
      </c>
      <c r="C366" t="s">
        <v>492</v>
      </c>
      <c r="D366" s="29" t="s">
        <v>493</v>
      </c>
      <c r="E366" t="s">
        <v>94</v>
      </c>
      <c r="F366">
        <v>33699.53</v>
      </c>
      <c r="G366">
        <v>15.51</v>
      </c>
      <c r="H366">
        <v>522679.71</v>
      </c>
    </row>
    <row r="367" spans="1:8" ht="36" hidden="1">
      <c r="A367">
        <v>304</v>
      </c>
      <c r="B367">
        <v>11404002001</v>
      </c>
      <c r="C367" t="s">
        <v>494</v>
      </c>
      <c r="D367" s="29" t="s">
        <v>495</v>
      </c>
      <c r="E367" t="s">
        <v>94</v>
      </c>
      <c r="F367">
        <v>33699.53</v>
      </c>
      <c r="G367">
        <v>22.45</v>
      </c>
      <c r="H367">
        <v>756554.45</v>
      </c>
    </row>
    <row r="368" spans="1:8" hidden="1">
      <c r="A368" t="s">
        <v>53</v>
      </c>
      <c r="B368" t="s">
        <v>53</v>
      </c>
      <c r="C368" t="s">
        <v>496</v>
      </c>
      <c r="D368" s="29" t="s">
        <v>53</v>
      </c>
      <c r="E368" t="s">
        <v>53</v>
      </c>
      <c r="F368" t="s">
        <v>53</v>
      </c>
      <c r="G368" t="s">
        <v>53</v>
      </c>
      <c r="H368">
        <v>28686.93</v>
      </c>
    </row>
    <row r="369" spans="1:8" ht="36" hidden="1">
      <c r="A369">
        <v>305</v>
      </c>
      <c r="B369">
        <v>11403003007</v>
      </c>
      <c r="C369" t="s">
        <v>490</v>
      </c>
      <c r="D369" s="29" t="s">
        <v>497</v>
      </c>
      <c r="E369" t="s">
        <v>94</v>
      </c>
      <c r="F369">
        <v>477.32</v>
      </c>
      <c r="G369">
        <v>1.54</v>
      </c>
      <c r="H369">
        <v>735.07</v>
      </c>
    </row>
    <row r="370" spans="1:8" ht="36" hidden="1">
      <c r="A370">
        <v>306</v>
      </c>
      <c r="B370">
        <v>10902002002</v>
      </c>
      <c r="C370" t="s">
        <v>498</v>
      </c>
      <c r="D370" s="29" t="s">
        <v>499</v>
      </c>
      <c r="E370" t="s">
        <v>94</v>
      </c>
      <c r="F370">
        <v>477.32</v>
      </c>
      <c r="G370">
        <v>17.3</v>
      </c>
      <c r="H370">
        <v>8257.64</v>
      </c>
    </row>
    <row r="371" spans="1:8" ht="36" hidden="1">
      <c r="A371">
        <v>307</v>
      </c>
      <c r="B371">
        <v>11403003008</v>
      </c>
      <c r="C371" t="s">
        <v>492</v>
      </c>
      <c r="D371" s="29" t="s">
        <v>500</v>
      </c>
      <c r="E371" t="s">
        <v>94</v>
      </c>
      <c r="F371">
        <v>477.32</v>
      </c>
      <c r="G371">
        <v>15.51</v>
      </c>
      <c r="H371">
        <v>7403.23</v>
      </c>
    </row>
    <row r="372" spans="1:8" ht="48" hidden="1">
      <c r="A372">
        <v>308</v>
      </c>
      <c r="B372">
        <v>11404002002</v>
      </c>
      <c r="C372" t="s">
        <v>494</v>
      </c>
      <c r="D372" s="29" t="s">
        <v>501</v>
      </c>
      <c r="E372" t="s">
        <v>94</v>
      </c>
      <c r="F372">
        <v>477.32</v>
      </c>
      <c r="G372">
        <v>25.75</v>
      </c>
      <c r="H372">
        <v>12290.99</v>
      </c>
    </row>
    <row r="373" spans="1:8" hidden="1">
      <c r="A373" t="s">
        <v>53</v>
      </c>
      <c r="B373" t="s">
        <v>53</v>
      </c>
      <c r="C373" t="s">
        <v>502</v>
      </c>
      <c r="D373" s="29" t="s">
        <v>53</v>
      </c>
      <c r="E373" t="s">
        <v>53</v>
      </c>
      <c r="F373" t="s">
        <v>53</v>
      </c>
      <c r="G373" t="s">
        <v>53</v>
      </c>
      <c r="H373">
        <v>1357312.16</v>
      </c>
    </row>
    <row r="374" spans="1:8" ht="36" hidden="1">
      <c r="A374">
        <v>309</v>
      </c>
      <c r="B374">
        <v>11403003009</v>
      </c>
      <c r="C374" t="s">
        <v>490</v>
      </c>
      <c r="D374" s="29" t="s">
        <v>491</v>
      </c>
      <c r="E374" t="s">
        <v>94</v>
      </c>
      <c r="F374">
        <v>32643.39</v>
      </c>
      <c r="G374">
        <v>1.54</v>
      </c>
      <c r="H374">
        <v>50270.82</v>
      </c>
    </row>
    <row r="375" spans="1:8" ht="48" hidden="1">
      <c r="A375">
        <v>310</v>
      </c>
      <c r="B375">
        <v>11404002003</v>
      </c>
      <c r="C375" t="s">
        <v>494</v>
      </c>
      <c r="D375" s="29" t="s">
        <v>503</v>
      </c>
      <c r="E375" t="s">
        <v>94</v>
      </c>
      <c r="F375">
        <v>32643.39</v>
      </c>
      <c r="G375">
        <v>40.04</v>
      </c>
      <c r="H375">
        <v>1307041.3400000001</v>
      </c>
    </row>
    <row r="376" spans="1:8" hidden="1">
      <c r="A376" t="s">
        <v>53</v>
      </c>
      <c r="B376" t="s">
        <v>53</v>
      </c>
      <c r="C376" t="s">
        <v>504</v>
      </c>
      <c r="D376" s="29" t="s">
        <v>505</v>
      </c>
      <c r="E376" t="s">
        <v>53</v>
      </c>
      <c r="F376" t="s">
        <v>53</v>
      </c>
      <c r="G376" t="s">
        <v>53</v>
      </c>
      <c r="H376">
        <v>315552.15999999997</v>
      </c>
    </row>
    <row r="377" spans="1:8" ht="48" hidden="1">
      <c r="A377">
        <v>311</v>
      </c>
      <c r="B377">
        <v>11302001001</v>
      </c>
      <c r="C377" t="s">
        <v>506</v>
      </c>
      <c r="D377" s="29" t="s">
        <v>507</v>
      </c>
      <c r="E377" t="s">
        <v>94</v>
      </c>
      <c r="F377">
        <v>1805.46</v>
      </c>
      <c r="G377">
        <v>134.26</v>
      </c>
      <c r="H377">
        <v>242401.06</v>
      </c>
    </row>
    <row r="378" spans="1:8" ht="60" hidden="1">
      <c r="A378">
        <v>312</v>
      </c>
      <c r="B378">
        <v>11302001002</v>
      </c>
      <c r="C378" t="s">
        <v>508</v>
      </c>
      <c r="D378" s="29" t="s">
        <v>509</v>
      </c>
      <c r="E378" t="s">
        <v>192</v>
      </c>
      <c r="F378">
        <v>10.44</v>
      </c>
      <c r="G378">
        <v>7006.81</v>
      </c>
      <c r="H378">
        <v>73151.100000000006</v>
      </c>
    </row>
    <row r="379" spans="1:8" hidden="1">
      <c r="A379" t="s">
        <v>53</v>
      </c>
      <c r="B379" t="s">
        <v>53</v>
      </c>
      <c r="C379" t="s">
        <v>510</v>
      </c>
      <c r="D379" s="29" t="s">
        <v>511</v>
      </c>
      <c r="E379" t="s">
        <v>53</v>
      </c>
      <c r="F379" t="s">
        <v>53</v>
      </c>
      <c r="G379" t="s">
        <v>53</v>
      </c>
      <c r="H379">
        <v>200079.8</v>
      </c>
    </row>
    <row r="380" spans="1:8" ht="60" hidden="1">
      <c r="A380">
        <v>313</v>
      </c>
      <c r="B380">
        <v>11302001003</v>
      </c>
      <c r="C380" t="s">
        <v>506</v>
      </c>
      <c r="D380" s="29" t="s">
        <v>512</v>
      </c>
      <c r="E380" t="s">
        <v>94</v>
      </c>
      <c r="F380">
        <v>1339.85</v>
      </c>
      <c r="G380">
        <v>149.33000000000001</v>
      </c>
      <c r="H380">
        <v>200079.8</v>
      </c>
    </row>
    <row r="381" spans="1:8" hidden="1">
      <c r="A381" t="s">
        <v>53</v>
      </c>
      <c r="B381" t="s">
        <v>53</v>
      </c>
      <c r="C381" t="s">
        <v>37</v>
      </c>
      <c r="D381" s="29" t="s">
        <v>53</v>
      </c>
      <c r="E381" t="s">
        <v>53</v>
      </c>
      <c r="F381" t="s">
        <v>53</v>
      </c>
      <c r="G381" t="s">
        <v>53</v>
      </c>
      <c r="H381">
        <v>3829769.09</v>
      </c>
    </row>
    <row r="382" spans="1:8" ht="48" hidden="1">
      <c r="A382">
        <v>314</v>
      </c>
      <c r="B382">
        <v>10802004001</v>
      </c>
      <c r="C382" t="s">
        <v>513</v>
      </c>
      <c r="D382" s="29" t="s">
        <v>514</v>
      </c>
      <c r="E382" t="s">
        <v>94</v>
      </c>
      <c r="F382">
        <v>184.16</v>
      </c>
      <c r="G382">
        <v>342.03</v>
      </c>
      <c r="H382">
        <v>62988.24</v>
      </c>
    </row>
    <row r="383" spans="1:8" ht="48" hidden="1">
      <c r="A383">
        <v>315</v>
      </c>
      <c r="B383">
        <v>10802004002</v>
      </c>
      <c r="C383" t="s">
        <v>515</v>
      </c>
      <c r="D383" s="29" t="s">
        <v>516</v>
      </c>
      <c r="E383" t="s">
        <v>94</v>
      </c>
      <c r="F383">
        <v>148.6</v>
      </c>
      <c r="G383">
        <v>346.44</v>
      </c>
      <c r="H383">
        <v>51480.98</v>
      </c>
    </row>
    <row r="384" spans="1:8" ht="48" hidden="1">
      <c r="A384">
        <v>316</v>
      </c>
      <c r="B384">
        <v>10802002001</v>
      </c>
      <c r="C384" t="s">
        <v>517</v>
      </c>
      <c r="D384" s="29" t="s">
        <v>518</v>
      </c>
      <c r="E384" t="s">
        <v>94</v>
      </c>
      <c r="F384">
        <v>108</v>
      </c>
      <c r="G384">
        <v>424.23</v>
      </c>
      <c r="H384">
        <v>45816.84</v>
      </c>
    </row>
    <row r="385" spans="1:8" ht="48" hidden="1">
      <c r="A385">
        <v>317</v>
      </c>
      <c r="B385">
        <v>10802002002</v>
      </c>
      <c r="C385" t="s">
        <v>519</v>
      </c>
      <c r="D385" s="29" t="s">
        <v>520</v>
      </c>
      <c r="E385" t="s">
        <v>94</v>
      </c>
      <c r="F385">
        <v>52.36</v>
      </c>
      <c r="G385">
        <v>507.07</v>
      </c>
      <c r="H385">
        <v>26550.19</v>
      </c>
    </row>
    <row r="386" spans="1:8" ht="48" hidden="1">
      <c r="A386">
        <v>318</v>
      </c>
      <c r="B386">
        <v>10802002003</v>
      </c>
      <c r="C386" t="s">
        <v>521</v>
      </c>
      <c r="D386" s="29" t="s">
        <v>522</v>
      </c>
      <c r="E386" t="s">
        <v>94</v>
      </c>
      <c r="F386">
        <v>40.04</v>
      </c>
      <c r="G386">
        <v>527.44000000000005</v>
      </c>
      <c r="H386">
        <v>21118.7</v>
      </c>
    </row>
    <row r="387" spans="1:8" ht="48" hidden="1">
      <c r="A387">
        <v>319</v>
      </c>
      <c r="B387">
        <v>10802002004</v>
      </c>
      <c r="C387" t="s">
        <v>523</v>
      </c>
      <c r="D387" s="29" t="s">
        <v>524</v>
      </c>
      <c r="E387" t="s">
        <v>94</v>
      </c>
      <c r="F387">
        <v>1846</v>
      </c>
      <c r="G387">
        <v>1057.82</v>
      </c>
      <c r="H387">
        <v>1952735.72</v>
      </c>
    </row>
    <row r="388" spans="1:8" ht="60" hidden="1">
      <c r="A388">
        <v>320</v>
      </c>
      <c r="B388">
        <v>10802002005</v>
      </c>
      <c r="C388" t="s">
        <v>525</v>
      </c>
      <c r="D388" s="29" t="s">
        <v>526</v>
      </c>
      <c r="E388" t="s">
        <v>94</v>
      </c>
      <c r="F388">
        <v>257.77</v>
      </c>
      <c r="G388">
        <v>507.88</v>
      </c>
      <c r="H388">
        <v>130916.23</v>
      </c>
    </row>
    <row r="389" spans="1:8" ht="60" hidden="1">
      <c r="A389">
        <v>321</v>
      </c>
      <c r="B389">
        <v>10807001001</v>
      </c>
      <c r="C389" t="s">
        <v>527</v>
      </c>
      <c r="D389" s="29" t="s">
        <v>528</v>
      </c>
      <c r="E389" t="s">
        <v>94</v>
      </c>
      <c r="F389">
        <v>327.23</v>
      </c>
      <c r="G389">
        <v>450.12</v>
      </c>
      <c r="H389">
        <v>147292.76999999999</v>
      </c>
    </row>
    <row r="390" spans="1:8" ht="60" hidden="1">
      <c r="A390">
        <v>322</v>
      </c>
      <c r="B390">
        <v>10807001002</v>
      </c>
      <c r="C390" t="s">
        <v>529</v>
      </c>
      <c r="D390" s="29" t="s">
        <v>530</v>
      </c>
      <c r="E390" t="s">
        <v>94</v>
      </c>
      <c r="F390">
        <v>13.1</v>
      </c>
      <c r="G390">
        <v>643.02</v>
      </c>
      <c r="H390">
        <v>8423.56</v>
      </c>
    </row>
    <row r="391" spans="1:8" ht="60" hidden="1">
      <c r="A391">
        <v>323</v>
      </c>
      <c r="B391">
        <v>10807001003</v>
      </c>
      <c r="C391" t="s">
        <v>531</v>
      </c>
      <c r="D391" s="29" t="s">
        <v>532</v>
      </c>
      <c r="E391" t="s">
        <v>94</v>
      </c>
      <c r="F391">
        <v>1274.95</v>
      </c>
      <c r="G391">
        <v>587.91999999999996</v>
      </c>
      <c r="H391">
        <v>749568.6</v>
      </c>
    </row>
    <row r="392" spans="1:8" ht="48" hidden="1">
      <c r="A392">
        <v>324</v>
      </c>
      <c r="B392">
        <v>10807002001</v>
      </c>
      <c r="C392" t="s">
        <v>533</v>
      </c>
      <c r="D392" s="29" t="s">
        <v>534</v>
      </c>
      <c r="E392" t="s">
        <v>94</v>
      </c>
      <c r="F392">
        <v>92.57</v>
      </c>
      <c r="G392">
        <v>666.73</v>
      </c>
      <c r="H392">
        <v>61719.199999999997</v>
      </c>
    </row>
    <row r="393" spans="1:8" ht="48" hidden="1">
      <c r="A393">
        <v>325</v>
      </c>
      <c r="B393">
        <v>10807003001</v>
      </c>
      <c r="C393" t="s">
        <v>535</v>
      </c>
      <c r="D393" s="29" t="s">
        <v>536</v>
      </c>
      <c r="E393" t="s">
        <v>94</v>
      </c>
      <c r="F393">
        <v>101.58</v>
      </c>
      <c r="G393">
        <v>355.42</v>
      </c>
      <c r="H393">
        <v>36103.56</v>
      </c>
    </row>
    <row r="394" spans="1:8" ht="36" hidden="1">
      <c r="A394">
        <v>326</v>
      </c>
      <c r="B394">
        <v>10807003002</v>
      </c>
      <c r="C394" t="s">
        <v>537</v>
      </c>
      <c r="D394" s="29" t="s">
        <v>538</v>
      </c>
      <c r="E394" t="s">
        <v>94</v>
      </c>
      <c r="F394">
        <v>1</v>
      </c>
      <c r="G394">
        <v>226.2</v>
      </c>
      <c r="H394">
        <v>226.2</v>
      </c>
    </row>
    <row r="395" spans="1:8" ht="36" hidden="1">
      <c r="A395">
        <v>327</v>
      </c>
      <c r="B395">
        <v>10807001004</v>
      </c>
      <c r="C395" t="s">
        <v>539</v>
      </c>
      <c r="D395" s="29" t="s">
        <v>540</v>
      </c>
      <c r="E395" t="s">
        <v>250</v>
      </c>
      <c r="F395">
        <v>28</v>
      </c>
      <c r="G395">
        <v>257.11</v>
      </c>
      <c r="H395">
        <v>7199.08</v>
      </c>
    </row>
    <row r="396" spans="1:8" ht="36" hidden="1">
      <c r="A396">
        <v>328</v>
      </c>
      <c r="B396">
        <v>10807001005</v>
      </c>
      <c r="C396" t="s">
        <v>541</v>
      </c>
      <c r="D396" s="29" t="s">
        <v>542</v>
      </c>
      <c r="E396" t="s">
        <v>250</v>
      </c>
      <c r="F396">
        <v>26</v>
      </c>
      <c r="G396">
        <v>367.3</v>
      </c>
      <c r="H396">
        <v>9549.7999999999993</v>
      </c>
    </row>
    <row r="397" spans="1:8" ht="36" hidden="1">
      <c r="A397">
        <v>329</v>
      </c>
      <c r="B397">
        <v>10807001006</v>
      </c>
      <c r="C397" t="s">
        <v>543</v>
      </c>
      <c r="D397" s="29" t="s">
        <v>544</v>
      </c>
      <c r="E397" t="s">
        <v>250</v>
      </c>
      <c r="F397">
        <v>14</v>
      </c>
      <c r="G397">
        <v>459.12</v>
      </c>
      <c r="H397">
        <v>6427.68</v>
      </c>
    </row>
    <row r="398" spans="1:8" ht="36" hidden="1">
      <c r="A398">
        <v>330</v>
      </c>
      <c r="B398">
        <v>10807001007</v>
      </c>
      <c r="C398" t="s">
        <v>545</v>
      </c>
      <c r="D398" s="29" t="s">
        <v>546</v>
      </c>
      <c r="E398" t="s">
        <v>250</v>
      </c>
      <c r="F398">
        <v>30</v>
      </c>
      <c r="G398">
        <v>734.6</v>
      </c>
      <c r="H398">
        <v>22038</v>
      </c>
    </row>
    <row r="399" spans="1:8" ht="36" hidden="1">
      <c r="A399">
        <v>331</v>
      </c>
      <c r="B399">
        <v>10807001008</v>
      </c>
      <c r="C399" t="s">
        <v>547</v>
      </c>
      <c r="D399" s="29" t="s">
        <v>548</v>
      </c>
      <c r="E399" t="s">
        <v>250</v>
      </c>
      <c r="F399">
        <v>41</v>
      </c>
      <c r="G399">
        <v>1010.07</v>
      </c>
      <c r="H399">
        <v>41412.870000000003</v>
      </c>
    </row>
    <row r="400" spans="1:8" ht="60" hidden="1">
      <c r="A400">
        <v>332</v>
      </c>
      <c r="B400">
        <v>10807001009</v>
      </c>
      <c r="C400" t="s">
        <v>549</v>
      </c>
      <c r="D400" s="29" t="s">
        <v>550</v>
      </c>
      <c r="E400" t="s">
        <v>94</v>
      </c>
      <c r="F400">
        <v>462.22</v>
      </c>
      <c r="G400">
        <v>969.67</v>
      </c>
      <c r="H400">
        <v>448200.87</v>
      </c>
    </row>
    <row r="401" spans="1:8" hidden="1">
      <c r="A401" t="s">
        <v>53</v>
      </c>
      <c r="B401" t="s">
        <v>53</v>
      </c>
      <c r="C401" t="s">
        <v>40</v>
      </c>
      <c r="D401" s="29" t="s">
        <v>53</v>
      </c>
      <c r="E401" t="s">
        <v>53</v>
      </c>
      <c r="F401" t="s">
        <v>53</v>
      </c>
      <c r="G401" t="s">
        <v>53</v>
      </c>
      <c r="H401">
        <v>415510.73</v>
      </c>
    </row>
    <row r="402" spans="1:8" hidden="1">
      <c r="A402" t="s">
        <v>53</v>
      </c>
      <c r="B402" t="s">
        <v>53</v>
      </c>
      <c r="C402" t="s">
        <v>551</v>
      </c>
      <c r="D402" s="29" t="s">
        <v>53</v>
      </c>
      <c r="E402" t="s">
        <v>53</v>
      </c>
      <c r="F402" t="s">
        <v>53</v>
      </c>
      <c r="G402" t="s">
        <v>53</v>
      </c>
      <c r="H402">
        <v>19018.75</v>
      </c>
    </row>
    <row r="403" spans="1:8" ht="24" hidden="1">
      <c r="A403">
        <v>333</v>
      </c>
      <c r="B403">
        <v>10102007002</v>
      </c>
      <c r="C403" t="s">
        <v>82</v>
      </c>
      <c r="D403" s="29" t="s">
        <v>552</v>
      </c>
      <c r="E403" t="s">
        <v>79</v>
      </c>
      <c r="F403">
        <v>20.602</v>
      </c>
      <c r="G403">
        <v>188.29</v>
      </c>
      <c r="H403">
        <v>3879.15</v>
      </c>
    </row>
    <row r="404" spans="1:8" ht="24" hidden="1">
      <c r="A404">
        <v>334</v>
      </c>
      <c r="B404">
        <v>10501001018</v>
      </c>
      <c r="C404" t="s">
        <v>553</v>
      </c>
      <c r="D404" s="29" t="s">
        <v>554</v>
      </c>
      <c r="E404" t="s">
        <v>94</v>
      </c>
      <c r="F404">
        <v>343.36</v>
      </c>
      <c r="G404">
        <v>35</v>
      </c>
      <c r="H404">
        <v>12017.6</v>
      </c>
    </row>
    <row r="405" spans="1:8" hidden="1">
      <c r="A405">
        <v>335</v>
      </c>
      <c r="B405">
        <v>10102007003</v>
      </c>
      <c r="C405" t="s">
        <v>82</v>
      </c>
      <c r="D405" s="29" t="s">
        <v>555</v>
      </c>
      <c r="E405" t="s">
        <v>79</v>
      </c>
      <c r="F405">
        <v>85.84</v>
      </c>
      <c r="G405">
        <v>36.369999999999997</v>
      </c>
      <c r="H405">
        <v>3122</v>
      </c>
    </row>
    <row r="406" spans="1:8" hidden="1">
      <c r="A406" t="s">
        <v>53</v>
      </c>
      <c r="B406" t="s">
        <v>53</v>
      </c>
      <c r="C406" t="s">
        <v>556</v>
      </c>
      <c r="D406" s="29" t="s">
        <v>53</v>
      </c>
      <c r="E406" t="s">
        <v>53</v>
      </c>
      <c r="F406" t="s">
        <v>53</v>
      </c>
      <c r="G406" t="s">
        <v>53</v>
      </c>
      <c r="H406">
        <v>6100.56</v>
      </c>
    </row>
    <row r="407" spans="1:8" ht="48" hidden="1">
      <c r="A407">
        <v>336</v>
      </c>
      <c r="B407">
        <v>11102003011</v>
      </c>
      <c r="C407" t="s">
        <v>351</v>
      </c>
      <c r="D407" s="29" t="s">
        <v>557</v>
      </c>
      <c r="E407" t="s">
        <v>94</v>
      </c>
      <c r="F407">
        <v>33.799999999999997</v>
      </c>
      <c r="G407">
        <v>180.49</v>
      </c>
      <c r="H407">
        <v>6100.56</v>
      </c>
    </row>
    <row r="408" spans="1:8" hidden="1">
      <c r="A408" t="s">
        <v>53</v>
      </c>
      <c r="B408" t="s">
        <v>53</v>
      </c>
      <c r="C408" t="s">
        <v>558</v>
      </c>
      <c r="D408" s="29" t="s">
        <v>53</v>
      </c>
      <c r="E408" t="s">
        <v>53</v>
      </c>
      <c r="F408" t="s">
        <v>53</v>
      </c>
      <c r="G408" t="s">
        <v>53</v>
      </c>
      <c r="H408">
        <v>2291.19</v>
      </c>
    </row>
    <row r="409" spans="1:8" ht="84" hidden="1">
      <c r="A409">
        <v>337</v>
      </c>
      <c r="B409">
        <v>10501001019</v>
      </c>
      <c r="C409" t="s">
        <v>395</v>
      </c>
      <c r="D409" s="29" t="s">
        <v>559</v>
      </c>
      <c r="E409" t="s">
        <v>94</v>
      </c>
      <c r="F409">
        <v>24.51</v>
      </c>
      <c r="G409">
        <v>93.48</v>
      </c>
      <c r="H409">
        <v>2291.19</v>
      </c>
    </row>
    <row r="410" spans="1:8" ht="36" hidden="1">
      <c r="A410">
        <v>338</v>
      </c>
      <c r="B410">
        <v>11403001003</v>
      </c>
      <c r="C410" t="s">
        <v>560</v>
      </c>
      <c r="D410" s="29" t="s">
        <v>561</v>
      </c>
      <c r="E410" t="s">
        <v>94</v>
      </c>
      <c r="F410">
        <v>235.9</v>
      </c>
      <c r="G410">
        <v>18</v>
      </c>
      <c r="H410">
        <v>4246.2</v>
      </c>
    </row>
    <row r="411" spans="1:8" ht="84" hidden="1">
      <c r="A411">
        <v>339</v>
      </c>
      <c r="B411">
        <v>11101001016</v>
      </c>
      <c r="C411" t="s">
        <v>562</v>
      </c>
      <c r="D411" s="29" t="s">
        <v>563</v>
      </c>
      <c r="E411" t="s">
        <v>94</v>
      </c>
      <c r="F411">
        <v>18</v>
      </c>
      <c r="G411">
        <v>101.3</v>
      </c>
      <c r="H411">
        <v>1823.4</v>
      </c>
    </row>
    <row r="412" spans="1:8" ht="60" hidden="1">
      <c r="A412">
        <v>340</v>
      </c>
      <c r="B412">
        <v>11205001005</v>
      </c>
      <c r="C412" t="s">
        <v>564</v>
      </c>
      <c r="D412" s="29" t="s">
        <v>565</v>
      </c>
      <c r="E412" t="s">
        <v>94</v>
      </c>
      <c r="F412">
        <v>42</v>
      </c>
      <c r="G412">
        <v>143.9</v>
      </c>
      <c r="H412">
        <v>6043.8</v>
      </c>
    </row>
    <row r="413" spans="1:8" ht="48" hidden="1">
      <c r="A413">
        <v>341</v>
      </c>
      <c r="B413">
        <v>10904004001</v>
      </c>
      <c r="C413" t="s">
        <v>566</v>
      </c>
      <c r="D413" s="29" t="s">
        <v>567</v>
      </c>
      <c r="E413" t="s">
        <v>273</v>
      </c>
      <c r="F413">
        <v>161.19999999999999</v>
      </c>
      <c r="G413">
        <v>101.44</v>
      </c>
      <c r="H413">
        <v>16352.13</v>
      </c>
    </row>
    <row r="414" spans="1:8" ht="48" hidden="1">
      <c r="A414">
        <v>342</v>
      </c>
      <c r="B414">
        <v>10904004002</v>
      </c>
      <c r="C414" t="s">
        <v>568</v>
      </c>
      <c r="D414" s="29" t="s">
        <v>569</v>
      </c>
      <c r="E414" t="s">
        <v>273</v>
      </c>
      <c r="F414">
        <v>91.2</v>
      </c>
      <c r="G414">
        <v>85.95</v>
      </c>
      <c r="H414">
        <v>7838.64</v>
      </c>
    </row>
    <row r="415" spans="1:8" ht="48" hidden="1">
      <c r="A415">
        <v>343</v>
      </c>
      <c r="B415">
        <v>10904004003</v>
      </c>
      <c r="C415" t="s">
        <v>570</v>
      </c>
      <c r="D415" s="29" t="s">
        <v>571</v>
      </c>
      <c r="E415" t="s">
        <v>273</v>
      </c>
      <c r="F415">
        <v>161.19999999999999</v>
      </c>
      <c r="G415">
        <v>81.650000000000006</v>
      </c>
      <c r="H415">
        <v>13161.98</v>
      </c>
    </row>
    <row r="416" spans="1:8" ht="48" hidden="1">
      <c r="A416">
        <v>344</v>
      </c>
      <c r="B416">
        <v>10903004002</v>
      </c>
      <c r="C416" t="s">
        <v>572</v>
      </c>
      <c r="D416" s="29" t="s">
        <v>573</v>
      </c>
      <c r="E416" t="s">
        <v>273</v>
      </c>
      <c r="F416">
        <v>91.2</v>
      </c>
      <c r="G416">
        <v>48.73</v>
      </c>
      <c r="H416">
        <v>4444.18</v>
      </c>
    </row>
    <row r="417" spans="1:8" ht="48" hidden="1">
      <c r="A417">
        <v>345</v>
      </c>
      <c r="B417">
        <v>10904004004</v>
      </c>
      <c r="C417" t="s">
        <v>574</v>
      </c>
      <c r="D417" s="29" t="s">
        <v>575</v>
      </c>
      <c r="E417" t="s">
        <v>273</v>
      </c>
      <c r="F417">
        <v>30.4</v>
      </c>
      <c r="G417">
        <v>151.32</v>
      </c>
      <c r="H417">
        <v>4600.13</v>
      </c>
    </row>
    <row r="418" spans="1:8" ht="60" hidden="1">
      <c r="A418">
        <v>346</v>
      </c>
      <c r="B418">
        <v>10903004003</v>
      </c>
      <c r="C418" t="s">
        <v>576</v>
      </c>
      <c r="D418" s="29" t="s">
        <v>577</v>
      </c>
      <c r="E418" t="s">
        <v>273</v>
      </c>
      <c r="F418">
        <v>35.69</v>
      </c>
      <c r="G418">
        <v>79.569999999999993</v>
      </c>
      <c r="H418">
        <v>2839.85</v>
      </c>
    </row>
    <row r="419" spans="1:8" ht="60" hidden="1">
      <c r="A419">
        <v>347</v>
      </c>
      <c r="B419">
        <v>11503001001</v>
      </c>
      <c r="C419" t="s">
        <v>578</v>
      </c>
      <c r="D419" s="29" t="s">
        <v>579</v>
      </c>
      <c r="E419" t="s">
        <v>273</v>
      </c>
      <c r="F419">
        <v>327.35000000000002</v>
      </c>
      <c r="G419">
        <v>296.95999999999998</v>
      </c>
      <c r="H419">
        <v>97209.86</v>
      </c>
    </row>
    <row r="420" spans="1:8" ht="60" hidden="1">
      <c r="A420">
        <v>348</v>
      </c>
      <c r="B420">
        <v>11503001002</v>
      </c>
      <c r="C420" t="s">
        <v>580</v>
      </c>
      <c r="D420" s="29" t="s">
        <v>581</v>
      </c>
      <c r="E420" t="s">
        <v>273</v>
      </c>
      <c r="F420">
        <v>134</v>
      </c>
      <c r="G420">
        <v>197.18</v>
      </c>
      <c r="H420">
        <v>26422.12</v>
      </c>
    </row>
    <row r="421" spans="1:8" ht="60" hidden="1">
      <c r="A421">
        <v>349</v>
      </c>
      <c r="B421">
        <v>11503001003</v>
      </c>
      <c r="C421" t="s">
        <v>582</v>
      </c>
      <c r="D421" s="29" t="s">
        <v>583</v>
      </c>
      <c r="E421" t="s">
        <v>273</v>
      </c>
      <c r="F421">
        <v>51</v>
      </c>
      <c r="G421">
        <v>260.45999999999998</v>
      </c>
      <c r="H421">
        <v>13283.46</v>
      </c>
    </row>
    <row r="422" spans="1:8" ht="48" hidden="1">
      <c r="A422">
        <v>350</v>
      </c>
      <c r="B422">
        <v>11503001004</v>
      </c>
      <c r="C422" t="s">
        <v>584</v>
      </c>
      <c r="D422" s="29" t="s">
        <v>585</v>
      </c>
      <c r="E422" t="s">
        <v>273</v>
      </c>
      <c r="F422">
        <v>23</v>
      </c>
      <c r="G422">
        <v>308.64999999999998</v>
      </c>
      <c r="H422">
        <v>7098.95</v>
      </c>
    </row>
    <row r="423" spans="1:8" ht="60" hidden="1">
      <c r="A423">
        <v>351</v>
      </c>
      <c r="B423">
        <v>11503001005</v>
      </c>
      <c r="C423" t="s">
        <v>586</v>
      </c>
      <c r="D423" s="29" t="s">
        <v>587</v>
      </c>
      <c r="E423" t="s">
        <v>273</v>
      </c>
      <c r="F423">
        <v>32</v>
      </c>
      <c r="G423">
        <v>318.08</v>
      </c>
      <c r="H423">
        <v>10178.56</v>
      </c>
    </row>
    <row r="424" spans="1:8" ht="48" hidden="1">
      <c r="A424">
        <v>352</v>
      </c>
      <c r="B424">
        <v>11503001006</v>
      </c>
      <c r="C424" t="s">
        <v>588</v>
      </c>
      <c r="D424" s="29" t="s">
        <v>589</v>
      </c>
      <c r="E424" t="s">
        <v>273</v>
      </c>
      <c r="F424">
        <v>24</v>
      </c>
      <c r="G424">
        <v>229.49</v>
      </c>
      <c r="H424">
        <v>5507.76</v>
      </c>
    </row>
    <row r="425" spans="1:8" ht="48" hidden="1">
      <c r="A425">
        <v>353</v>
      </c>
      <c r="B425">
        <v>10607004001</v>
      </c>
      <c r="C425" t="s">
        <v>590</v>
      </c>
      <c r="D425" s="29" t="s">
        <v>591</v>
      </c>
      <c r="E425" t="s">
        <v>192</v>
      </c>
      <c r="F425">
        <v>1.1000000000000001</v>
      </c>
      <c r="G425">
        <v>6367.42</v>
      </c>
      <c r="H425">
        <v>7004.16</v>
      </c>
    </row>
    <row r="426" spans="1:8" ht="48" hidden="1">
      <c r="A426">
        <v>354</v>
      </c>
      <c r="B426">
        <v>11503001007</v>
      </c>
      <c r="C426" t="s">
        <v>592</v>
      </c>
      <c r="D426" s="29" t="s">
        <v>593</v>
      </c>
      <c r="E426" t="s">
        <v>192</v>
      </c>
      <c r="F426">
        <v>0.89</v>
      </c>
      <c r="G426">
        <v>6217.69</v>
      </c>
      <c r="H426">
        <v>5533.74</v>
      </c>
    </row>
    <row r="427" spans="1:8" ht="48" hidden="1">
      <c r="A427">
        <v>355</v>
      </c>
      <c r="B427">
        <v>11503001008</v>
      </c>
      <c r="C427" t="s">
        <v>594</v>
      </c>
      <c r="D427" s="29" t="s">
        <v>595</v>
      </c>
      <c r="E427" t="s">
        <v>192</v>
      </c>
      <c r="F427">
        <v>0.9</v>
      </c>
      <c r="G427">
        <v>6217.67</v>
      </c>
      <c r="H427">
        <v>5595.9</v>
      </c>
    </row>
    <row r="428" spans="1:8" ht="48" hidden="1">
      <c r="A428">
        <v>356</v>
      </c>
      <c r="B428">
        <v>10607006001</v>
      </c>
      <c r="C428" t="s">
        <v>596</v>
      </c>
      <c r="D428" s="29" t="s">
        <v>597</v>
      </c>
      <c r="E428" t="s">
        <v>192</v>
      </c>
      <c r="F428">
        <v>0.86</v>
      </c>
      <c r="G428">
        <v>6481.78</v>
      </c>
      <c r="H428">
        <v>5574.33</v>
      </c>
    </row>
    <row r="429" spans="1:8" ht="84" hidden="1">
      <c r="A429">
        <v>357</v>
      </c>
      <c r="B429">
        <v>11506003002</v>
      </c>
      <c r="C429" t="s">
        <v>598</v>
      </c>
      <c r="D429" s="29" t="s">
        <v>599</v>
      </c>
      <c r="E429" t="s">
        <v>468</v>
      </c>
      <c r="F429">
        <v>45</v>
      </c>
      <c r="G429">
        <v>230.91</v>
      </c>
      <c r="H429">
        <v>10390.950000000001</v>
      </c>
    </row>
    <row r="430" spans="1:8" ht="84" hidden="1">
      <c r="A430">
        <v>358</v>
      </c>
      <c r="B430">
        <v>11506003003</v>
      </c>
      <c r="C430" t="s">
        <v>598</v>
      </c>
      <c r="D430" s="29" t="s">
        <v>600</v>
      </c>
      <c r="E430" t="s">
        <v>468</v>
      </c>
      <c r="F430">
        <v>65</v>
      </c>
      <c r="G430">
        <v>184.99</v>
      </c>
      <c r="H430">
        <v>12024.35</v>
      </c>
    </row>
    <row r="431" spans="1:8" ht="36" hidden="1">
      <c r="A431">
        <v>359</v>
      </c>
      <c r="B431">
        <v>11503001009</v>
      </c>
      <c r="C431" t="s">
        <v>601</v>
      </c>
      <c r="D431" s="29" t="s">
        <v>602</v>
      </c>
      <c r="E431" t="s">
        <v>94</v>
      </c>
      <c r="F431">
        <v>141.94999999999999</v>
      </c>
      <c r="G431">
        <v>505.04</v>
      </c>
      <c r="H431">
        <v>71690.429999999993</v>
      </c>
    </row>
    <row r="432" spans="1:8" ht="108" hidden="1">
      <c r="A432">
        <v>360</v>
      </c>
      <c r="B432">
        <v>11101001017</v>
      </c>
      <c r="C432" t="s">
        <v>603</v>
      </c>
      <c r="D432" s="29" t="s">
        <v>604</v>
      </c>
      <c r="E432" t="s">
        <v>94</v>
      </c>
      <c r="F432">
        <v>141.94999999999999</v>
      </c>
      <c r="G432">
        <v>99.09</v>
      </c>
      <c r="H432">
        <v>14065.83</v>
      </c>
    </row>
    <row r="433" spans="1:8" ht="36" hidden="1">
      <c r="A433">
        <v>361</v>
      </c>
      <c r="B433">
        <v>10809001001</v>
      </c>
      <c r="C433" t="s">
        <v>605</v>
      </c>
      <c r="D433" s="29" t="s">
        <v>606</v>
      </c>
      <c r="E433" t="s">
        <v>94</v>
      </c>
      <c r="F433">
        <v>12</v>
      </c>
      <c r="G433">
        <v>405.77</v>
      </c>
      <c r="H433">
        <v>4869.24</v>
      </c>
    </row>
    <row r="434" spans="1:8" ht="48" hidden="1">
      <c r="A434">
        <v>362</v>
      </c>
      <c r="B434">
        <v>11505001001</v>
      </c>
      <c r="C434" t="s">
        <v>607</v>
      </c>
      <c r="D434" s="29" t="s">
        <v>608</v>
      </c>
      <c r="E434" t="s">
        <v>94</v>
      </c>
      <c r="F434">
        <v>6</v>
      </c>
      <c r="G434">
        <v>629.15</v>
      </c>
      <c r="H434">
        <v>3774.9</v>
      </c>
    </row>
    <row r="435" spans="1:8" ht="36" hidden="1">
      <c r="A435">
        <v>363</v>
      </c>
      <c r="B435">
        <v>11505003001</v>
      </c>
      <c r="C435" t="s">
        <v>609</v>
      </c>
      <c r="D435" s="29" t="s">
        <v>610</v>
      </c>
      <c r="E435" t="s">
        <v>94</v>
      </c>
      <c r="F435">
        <v>8.36</v>
      </c>
      <c r="G435">
        <v>270.58999999999997</v>
      </c>
      <c r="H435">
        <v>2262.13</v>
      </c>
    </row>
    <row r="436" spans="1:8" ht="36" hidden="1">
      <c r="A436">
        <v>364</v>
      </c>
      <c r="B436">
        <v>11207003001</v>
      </c>
      <c r="C436" t="s">
        <v>611</v>
      </c>
      <c r="D436" s="29" t="s">
        <v>612</v>
      </c>
      <c r="E436" t="s">
        <v>94</v>
      </c>
      <c r="F436">
        <v>85</v>
      </c>
      <c r="G436">
        <v>285.45</v>
      </c>
      <c r="H436">
        <v>24263.25</v>
      </c>
    </row>
    <row r="437" spans="1:8">
      <c r="A437" t="s">
        <v>738</v>
      </c>
      <c r="E437">
        <f>SUBTOTAL(103,表2[计量单位])</f>
        <v>20</v>
      </c>
      <c r="F437">
        <f>SUBTOTAL(109,表2[工程量])</f>
        <v>2659.85</v>
      </c>
      <c r="H437">
        <f>SUBTOTAL(109,表2[合价])</f>
        <v>10126582.979999999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工程项目清单汇总表</vt:lpstr>
      <vt:lpstr>分部分项工程项目清单计价表</vt:lpstr>
      <vt:lpstr>措施项目清单计价表</vt:lpstr>
      <vt:lpstr>其他项目清单计价表</vt:lpstr>
      <vt:lpstr>暂列金额明细表</vt:lpstr>
      <vt:lpstr>增值税计价表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Zhihao Ma</cp:lastModifiedBy>
  <dcterms:created xsi:type="dcterms:W3CDTF">2026-07-03T07:05:00Z</dcterms:created>
  <dcterms:modified xsi:type="dcterms:W3CDTF">2026-07-04T09:47:35Z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6C4069BB53A44B46A6BE44474640AB18_12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